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23649F2B-B6C9-45AE-BB0F-A2E677766593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<sst xmlns="http://schemas.openxmlformats.org/spreadsheetml/2006/main" count="73" uniqueCount="31">
  <si>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</si>
  <si>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</si>
  <si>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</si>
  <si>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</si>
  <si>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</si>
  <si>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</si>
  <si>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</si>
  <si>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</si>
  <si>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</si>
  <si>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</si>
  <si>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</si>
  <si>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</si>
  <si>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</si>
  <si>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</si>
  <si>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</si>
  <si>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</si>
  <si>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</si>
  <si>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</si>
  <si>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</si>
  <si>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</si>
  <si>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</si>
  <si>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</si>
  <si>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</si>
  <si>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</si>
  <si>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</si>
  <si>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</si>
  <si>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</si>
  <si>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</si>
  <si>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With RS7 and integrated sphere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</si>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</sst>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A10" zoomScale="85" zoomScaleNormal="85" workbookViewId="0">
      <selection activeCell="Z39" sqref="Z39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  <c r="R1" t="s">
        <v>28</v>
      </c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29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30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3430.3369191882475</v>
      </c>
      <c r="R6" s="6">
        <v>183.55843744547064</v>
      </c>
      <c r="S6" s="6">
        <v>22401.199802732113</v>
      </c>
      <c r="T6" s="6">
        <f t="shared" ref="T6:T23" si="2">Q6/(Q6+R6+S6)</f>
        <v>0.13185947997400554</v>
      </c>
      <c r="U6" s="7">
        <f t="shared" ref="U6:U23" si="3">R6/(Q6+R6+S6)</f>
        <v>7.0558433986502951E-3</v>
      </c>
      <c r="V6" s="45">
        <v>0</v>
      </c>
      <c r="W6" s="86">
        <f t="shared" ref="W6:X21" si="4">J6-T6</f>
        <v>1.5095728883568665E-2</v>
      </c>
      <c r="X6" s="87">
        <f t="shared" si="4"/>
        <v>4.6290910501701997E-2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3289.3376022612938</v>
      </c>
      <c r="R7" s="6">
        <v>16397.775022986301</v>
      </c>
      <c r="S7" s="6">
        <v>494.25447841832647</v>
      </c>
      <c r="T7" s="6">
        <f t="shared" si="2"/>
        <v>0.16298883942623438</v>
      </c>
      <c r="U7" s="7">
        <f t="shared" si="3"/>
        <v>0.81252052642200168</v>
      </c>
      <c r="V7" s="45">
        <v>0</v>
      </c>
      <c r="W7" s="86">
        <f t="shared" si="4"/>
        <v>3.7445707015916624E-2</v>
      </c>
      <c r="X7" s="87">
        <f t="shared" si="4"/>
        <v>-0.11941895119114887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27625.553690572873</v>
      </c>
      <c r="R8" s="6">
        <v>12235.648434770552</v>
      </c>
      <c r="S8" s="6">
        <v>11819.259347088684</v>
      </c>
      <c r="T8" s="6">
        <f t="shared" si="2"/>
        <v>0.53454541433050407</v>
      </c>
      <c r="U8" s="7">
        <f t="shared" si="3"/>
        <v>0.23675578905767725</v>
      </c>
      <c r="V8" s="45">
        <v>0</v>
      </c>
      <c r="W8" s="86">
        <f t="shared" si="4"/>
        <v>0.14713804743594538</v>
      </c>
      <c r="X8" s="87">
        <f t="shared" si="4"/>
        <v>7.2669225761528455E-2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9069.7546361068198</v>
      </c>
      <c r="R9" s="6">
        <v>3283.8698134084916</v>
      </c>
      <c r="S9" s="6">
        <v>24540.248967856169</v>
      </c>
      <c r="T9" s="6">
        <f t="shared" si="2"/>
        <v>0.2458336248271597</v>
      </c>
      <c r="U9" s="7">
        <f t="shared" si="3"/>
        <v>8.9008540151338023E-2</v>
      </c>
      <c r="V9" s="45">
        <v>0</v>
      </c>
      <c r="W9" s="86">
        <f t="shared" si="4"/>
        <v>-1.9255003283618621E-2</v>
      </c>
      <c r="X9" s="87">
        <f t="shared" si="4"/>
        <v>2.2010857289850583E-2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5109.0695841015149</v>
      </c>
      <c r="R10" s="6">
        <v>3993.6433729925075</v>
      </c>
      <c r="S10" s="6">
        <v>22618.193858913688</v>
      </c>
      <c r="T10" s="6">
        <f t="shared" si="2"/>
        <v>0.16106316297121942</v>
      </c>
      <c r="U10" s="7">
        <f t="shared" si="3"/>
        <v>0.12589940748406178</v>
      </c>
      <c r="V10" s="45">
        <v>0</v>
      </c>
      <c r="W10" s="86">
        <f t="shared" si="4"/>
        <v>1.0786264197356704E-2</v>
      </c>
      <c r="X10" s="87">
        <f t="shared" si="4"/>
        <v>3.6539217720520906E-2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28075.525267546112</v>
      </c>
      <c r="R11" s="6">
        <v>12741.152684205545</v>
      </c>
      <c r="S11" s="6">
        <v>16159.74615495242</v>
      </c>
      <c r="T11" s="6">
        <f t="shared" si="2"/>
        <v>0.49275688511035631</v>
      </c>
      <c r="U11" s="7">
        <f t="shared" si="3"/>
        <v>0.22362148702670812</v>
      </c>
      <c r="V11" s="45">
        <v>0</v>
      </c>
      <c r="W11" s="86">
        <f t="shared" si="4"/>
        <v>6.7870131948196133E-2</v>
      </c>
      <c r="X11" s="87">
        <f t="shared" si="4"/>
        <v>4.9315350225481863E-2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4992.6322201721623</v>
      </c>
      <c r="R12" s="6">
        <v>16724.169719572357</v>
      </c>
      <c r="S12" s="6">
        <v>5348.3566293781623</v>
      </c>
      <c r="T12" s="6">
        <f t="shared" si="2"/>
        <v>0.18446713354445343</v>
      </c>
      <c r="U12" s="7">
        <f t="shared" si="3"/>
        <v>0.61792247316267879</v>
      </c>
      <c r="V12" s="45">
        <v>0</v>
      </c>
      <c r="W12" s="89">
        <f t="shared" si="4"/>
        <v>2.1745118396875318E-2</v>
      </c>
      <c r="X12" s="90">
        <f t="shared" si="4"/>
        <v>-4.9760264361988549E-2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8925.2481732116157</v>
      </c>
      <c r="R13" s="6">
        <v>18674.812507761028</v>
      </c>
      <c r="S13" s="6">
        <v>3555.8862588576376</v>
      </c>
      <c r="T13" s="6">
        <f t="shared" si="2"/>
        <v>0.28647013009902866</v>
      </c>
      <c r="U13" s="7">
        <f t="shared" si="3"/>
        <v>0.59939800718709135</v>
      </c>
      <c r="V13" s="45">
        <v>0</v>
      </c>
      <c r="W13" s="86">
        <f t="shared" si="4"/>
        <v>-1.2576324789294158E-2</v>
      </c>
      <c r="X13" s="87">
        <f t="shared" si="4"/>
        <v>1.0778983963351085E-2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27959.802276034447</v>
      </c>
      <c r="R14" s="6">
        <v>15381.446047539175</v>
      </c>
      <c r="S14" s="6">
        <v>12428.776981333991</v>
      </c>
      <c r="T14" s="6">
        <f t="shared" si="2"/>
        <v>0.50134103621383974</v>
      </c>
      <c r="U14" s="7">
        <f t="shared" si="3"/>
        <v>0.27580131017415283</v>
      </c>
      <c r="V14" s="45">
        <v>0</v>
      </c>
      <c r="W14" s="86">
        <f t="shared" si="4"/>
        <v>7.2767781797417275E-2</v>
      </c>
      <c r="X14" s="87">
        <f t="shared" si="4"/>
        <v>9.239756412228245E-2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32404.583740438953</v>
      </c>
      <c r="R15" s="6">
        <v>27564.928178038928</v>
      </c>
      <c r="S15" s="6">
        <v>32128.868179684028</v>
      </c>
      <c r="T15" s="6">
        <f t="shared" si="2"/>
        <v>0.35184748858667148</v>
      </c>
      <c r="U15" s="7">
        <f t="shared" si="3"/>
        <v>0.29929872977851718</v>
      </c>
      <c r="V15" s="45">
        <v>0</v>
      </c>
      <c r="W15" s="86">
        <f t="shared" si="4"/>
        <v>-2.4768754223168932E-2</v>
      </c>
      <c r="X15" s="87">
        <f t="shared" si="4"/>
        <v>4.580796632155637E-2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13627.092214367318</v>
      </c>
      <c r="R16" s="6">
        <v>13002.510600339952</v>
      </c>
      <c r="S16" s="6">
        <v>13428.905069912264</v>
      </c>
      <c r="T16" s="6">
        <f t="shared" si="2"/>
        <v>0.34017972545601077</v>
      </c>
      <c r="U16" s="7">
        <f t="shared" si="3"/>
        <v>0.32458799109020897</v>
      </c>
      <c r="V16" s="45">
        <v>0</v>
      </c>
      <c r="W16" s="86">
        <f t="shared" si="4"/>
        <v>-2.2984399913439868E-2</v>
      </c>
      <c r="X16" s="87">
        <f t="shared" si="4"/>
        <v>5.0620690045016403E-2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5.203026289408462</v>
      </c>
      <c r="H17">
        <v>4.3349294068824662</v>
      </c>
      <c r="I17">
        <v>1.9773905554616495</v>
      </c>
      <c r="J17" s="69">
        <f t="shared" si="0"/>
        <v>0.45183411559305803</v>
      </c>
      <c r="K17" s="69">
        <f t="shared" si="1"/>
        <v>0.37644802962157664</v>
      </c>
      <c r="L17" s="72"/>
      <c r="M17">
        <v>5.6645209992956165</v>
      </c>
      <c r="N17">
        <v>4.074082857424707</v>
      </c>
      <c r="O17">
        <v>1.5981503243904336</v>
      </c>
      <c r="P17" s="73">
        <f>J117</f>
        <v>0</v>
      </c>
      <c r="Q17" s="74">
        <v>5.2063762864724445</v>
      </c>
      <c r="R17" s="75">
        <v>4.3378637685088055</v>
      </c>
      <c r="S17" s="75">
        <v>1.9787326923164683</v>
      </c>
      <c r="T17" s="75">
        <f t="shared" si="2"/>
        <v>0.45182579188980598</v>
      </c>
      <c r="U17" s="76">
        <f t="shared" si="3"/>
        <v>0.3764535301470785</v>
      </c>
      <c r="V17" s="73">
        <v>1</v>
      </c>
      <c r="W17" s="91">
        <f t="shared" si="4"/>
        <v>8.3237032520444565E-6</v>
      </c>
      <c r="X17" s="92">
        <f t="shared" si="4"/>
        <v>-5.5005255018558685E-6</v>
      </c>
      <c r="Y17" s="91">
        <f t="shared" si="5"/>
        <v>8.3237032520444565E-6</v>
      </c>
      <c r="Z17" s="93">
        <f t="shared" si="5"/>
        <v>-5.5005255018558685E-6</v>
      </c>
      <c r="AB17" s="97">
        <f>(H17-R17)/H17</f>
        <v>-6.7691105227238367E-4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3.3715980227175804</v>
      </c>
      <c r="H18">
        <v>11.802656339517437</v>
      </c>
      <c r="I18">
        <v>10.052045903000961</v>
      </c>
      <c r="J18" s="69">
        <f t="shared" si="0"/>
        <v>0.133654082733802</v>
      </c>
      <c r="K18" s="69">
        <f t="shared" si="1"/>
        <v>0.46787107960426993</v>
      </c>
      <c r="L18" s="72"/>
      <c r="M18">
        <v>1.9921813447690231</v>
      </c>
      <c r="N18">
        <v>17.69160420949822</v>
      </c>
      <c r="O18">
        <v>10.228190912046237</v>
      </c>
      <c r="P18" s="73">
        <f>J125</f>
        <v>0</v>
      </c>
      <c r="Q18" s="74">
        <v>3.3730722675832023</v>
      </c>
      <c r="R18" s="75">
        <v>11.809259646950544</v>
      </c>
      <c r="S18" s="75">
        <v>10.057360858854176</v>
      </c>
      <c r="T18" s="75">
        <f t="shared" si="2"/>
        <v>0.13364157392358128</v>
      </c>
      <c r="U18" s="76">
        <f t="shared" si="3"/>
        <v>0.46788444506748994</v>
      </c>
      <c r="V18" s="73">
        <v>1</v>
      </c>
      <c r="W18" s="91">
        <f t="shared" si="4"/>
        <v>1.2508810220718258E-5</v>
      </c>
      <c r="X18" s="92">
        <f t="shared" si="4"/>
        <v>-1.3365463220005314E-5</v>
      </c>
      <c r="Y18" s="91">
        <f t="shared" si="5"/>
        <v>1.2508810220718258E-5</v>
      </c>
      <c r="Z18" s="93">
        <f t="shared" si="5"/>
        <v>-1.3365463220005314E-5</v>
      </c>
      <c r="AB18" s="97">
        <f t="shared" ref="AB18:AB23" si="6">(H18-R18)/H18</f>
        <v>-5.5947637914336215E-4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2.6728294638861669</v>
      </c>
      <c r="H19">
        <v>2.0894965631625055</v>
      </c>
      <c r="I19">
        <v>5.3490742913999245</v>
      </c>
      <c r="J19" s="69">
        <f t="shared" si="0"/>
        <v>0.26433821030797267</v>
      </c>
      <c r="K19" s="69">
        <f t="shared" si="1"/>
        <v>0.2066475955214776</v>
      </c>
      <c r="L19" s="72"/>
      <c r="M19">
        <v>2.4074625483615506</v>
      </c>
      <c r="N19">
        <v>2.8764760814674686</v>
      </c>
      <c r="O19">
        <v>2.9436547585797541</v>
      </c>
      <c r="P19" s="73">
        <f>J133</f>
        <v>0</v>
      </c>
      <c r="Q19" s="74">
        <v>2.6759168363827484</v>
      </c>
      <c r="R19" s="75">
        <v>2.0918306474071384</v>
      </c>
      <c r="S19" s="75">
        <v>5.3542804882006116</v>
      </c>
      <c r="T19" s="75">
        <f t="shared" si="2"/>
        <v>0.26436568282438061</v>
      </c>
      <c r="U19" s="76">
        <f t="shared" si="3"/>
        <v>0.2066612197867479</v>
      </c>
      <c r="V19" s="77">
        <v>1</v>
      </c>
      <c r="W19" s="91">
        <f t="shared" si="4"/>
        <v>-2.7472516407944791E-5</v>
      </c>
      <c r="X19" s="92">
        <f t="shared" si="4"/>
        <v>-1.3624265270295588E-5</v>
      </c>
      <c r="Y19" s="91">
        <f t="shared" si="5"/>
        <v>-2.7472516407944791E-5</v>
      </c>
      <c r="Z19" s="93">
        <f t="shared" si="5"/>
        <v>-1.3624265270295588E-5</v>
      </c>
      <c r="AB19" s="97">
        <f t="shared" si="6"/>
        <v>-1.1170557950572497E-3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8.5746243121260441</v>
      </c>
      <c r="H20">
        <v>16.137585746399903</v>
      </c>
      <c r="I20">
        <v>12.029436458462611</v>
      </c>
      <c r="J20" s="69">
        <f t="shared" si="0"/>
        <v>0.23337615825576349</v>
      </c>
      <c r="K20" s="69">
        <f t="shared" si="1"/>
        <v>0.43921781618954459</v>
      </c>
      <c r="L20" s="72"/>
      <c r="M20">
        <v>7.6567023440646382</v>
      </c>
      <c r="N20">
        <v>21.765687066922922</v>
      </c>
      <c r="O20">
        <v>11.82634123643667</v>
      </c>
      <c r="P20" s="73">
        <f>J141</f>
        <v>0</v>
      </c>
      <c r="Q20" s="74">
        <v>8.5794485540556451</v>
      </c>
      <c r="R20" s="75">
        <v>16.147123415459347</v>
      </c>
      <c r="S20" s="75">
        <v>12.036093551170648</v>
      </c>
      <c r="T20" s="75">
        <f t="shared" si="2"/>
        <v>0.23337395241996678</v>
      </c>
      <c r="U20" s="76">
        <f t="shared" si="3"/>
        <v>0.43922613300098362</v>
      </c>
      <c r="V20" s="73">
        <v>1</v>
      </c>
      <c r="W20" s="91">
        <f t="shared" si="4"/>
        <v>2.2058357967147391E-6</v>
      </c>
      <c r="X20" s="92">
        <f t="shared" si="4"/>
        <v>-8.3168114390352876E-6</v>
      </c>
      <c r="Y20" s="91">
        <f t="shared" si="5"/>
        <v>2.2058357967147391E-6</v>
      </c>
      <c r="Z20" s="93">
        <f t="shared" si="5"/>
        <v>-8.3168114390352876E-6</v>
      </c>
      <c r="AB20" s="97">
        <f t="shared" si="6"/>
        <v>-5.9102205307085258E-4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7.8758557532946289</v>
      </c>
      <c r="H21">
        <v>6.4244259700449708</v>
      </c>
      <c r="I21">
        <v>7.3264648468615743</v>
      </c>
      <c r="J21" s="69">
        <f t="shared" si="0"/>
        <v>0.36417200930936727</v>
      </c>
      <c r="K21" s="69">
        <f t="shared" si="1"/>
        <v>0.29705928948633398</v>
      </c>
      <c r="L21" s="72"/>
      <c r="M21">
        <v>8.0719835476571653</v>
      </c>
      <c r="N21">
        <v>6.9505589388921765</v>
      </c>
      <c r="O21">
        <v>4.5418050829701873</v>
      </c>
      <c r="P21" s="73">
        <f>J149</f>
        <v>0</v>
      </c>
      <c r="Q21" s="74">
        <v>7.8822931228551916</v>
      </c>
      <c r="R21" s="75">
        <v>6.4296944159159439</v>
      </c>
      <c r="S21" s="75">
        <v>7.333013180517078</v>
      </c>
      <c r="T21" s="75">
        <f t="shared" si="2"/>
        <v>0.36416229433668496</v>
      </c>
      <c r="U21" s="76">
        <f t="shared" si="3"/>
        <v>0.29705216919611088</v>
      </c>
      <c r="V21" s="77">
        <v>1</v>
      </c>
      <c r="W21" s="91">
        <f t="shared" si="4"/>
        <v>9.7149726823175797E-6</v>
      </c>
      <c r="X21" s="92">
        <f t="shared" si="4"/>
        <v>7.120290223094905E-6</v>
      </c>
      <c r="Y21" s="91">
        <f t="shared" si="5"/>
        <v>9.7149726823175797E-6</v>
      </c>
      <c r="Z21" s="93">
        <f t="shared" si="5"/>
        <v>7.120290223094905E-6</v>
      </c>
      <c r="AB21" s="97">
        <f t="shared" si="6"/>
        <v>-8.200648424525628E-4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6.0444274866037473</v>
      </c>
      <c r="H22">
        <v>13.892152902679943</v>
      </c>
      <c r="I22">
        <v>15.401120194400885</v>
      </c>
      <c r="J22" s="69">
        <f t="shared" si="0"/>
        <v>0.17104756072879457</v>
      </c>
      <c r="K22" s="69">
        <f t="shared" si="1"/>
        <v>0.39312554787715731</v>
      </c>
      <c r="L22" s="72"/>
      <c r="M22">
        <v>4.3996438931305741</v>
      </c>
      <c r="N22">
        <v>20.568080290965689</v>
      </c>
      <c r="O22">
        <v>13.171845670625991</v>
      </c>
      <c r="P22" s="73">
        <f>J157</f>
        <v>0</v>
      </c>
      <c r="Q22" s="74">
        <v>6.0489891039659511</v>
      </c>
      <c r="R22" s="75">
        <v>13.901090294357683</v>
      </c>
      <c r="S22" s="75">
        <v>15.411641347054786</v>
      </c>
      <c r="T22" s="75">
        <f t="shared" si="2"/>
        <v>0.1710603719632767</v>
      </c>
      <c r="U22" s="76">
        <f t="shared" si="3"/>
        <v>0.39311125141370495</v>
      </c>
      <c r="V22" s="73">
        <v>1</v>
      </c>
      <c r="W22" s="91">
        <f t="shared" ref="W22:X23" si="7">J22-T22</f>
        <v>-1.2811234482129619E-5</v>
      </c>
      <c r="X22" s="92">
        <f t="shared" si="7"/>
        <v>1.42964634523568E-5</v>
      </c>
      <c r="Y22" s="91">
        <f t="shared" si="5"/>
        <v>-1.2811234482129619E-5</v>
      </c>
      <c r="Z22" s="93">
        <f t="shared" si="5"/>
        <v>1.42964634523568E-5</v>
      </c>
      <c r="AB22" s="97">
        <f t="shared" si="6"/>
        <v>-6.4334100987445354E-4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11.247453776012209</v>
      </c>
      <c r="H23">
        <v>18.227082309562412</v>
      </c>
      <c r="I23">
        <v>17.378510749862535</v>
      </c>
      <c r="J23" s="69">
        <f t="shared" si="0"/>
        <v>0.2400581079714379</v>
      </c>
      <c r="K23" s="69">
        <f t="shared" si="1"/>
        <v>0.38902661706466474</v>
      </c>
      <c r="L23" s="72"/>
      <c r="M23">
        <v>10.064164892426188</v>
      </c>
      <c r="N23">
        <v>24.642163148390395</v>
      </c>
      <c r="O23">
        <v>14.769995995016426</v>
      </c>
      <c r="P23" s="77">
        <f>J165</f>
        <v>0</v>
      </c>
      <c r="Q23" s="79">
        <v>11.255365390438394</v>
      </c>
      <c r="R23" s="80">
        <v>18.238954062866487</v>
      </c>
      <c r="S23" s="80">
        <v>17.39037403937126</v>
      </c>
      <c r="T23" s="80">
        <f t="shared" si="2"/>
        <v>0.24006481757626494</v>
      </c>
      <c r="U23" s="81">
        <f t="shared" si="3"/>
        <v>0.38901724004478333</v>
      </c>
      <c r="V23" s="77">
        <v>1</v>
      </c>
      <c r="W23" s="94">
        <f t="shared" si="7"/>
        <v>-6.7096048270431918E-6</v>
      </c>
      <c r="X23" s="95">
        <f t="shared" si="7"/>
        <v>9.3770198814069339E-6</v>
      </c>
      <c r="Y23" s="94">
        <f t="shared" si="5"/>
        <v>-6.7096048270431918E-6</v>
      </c>
      <c r="Z23" s="96">
        <f t="shared" si="5"/>
        <v>9.3770198814069339E-6</v>
      </c>
      <c r="AB23" s="97">
        <f t="shared" si="6"/>
        <v>-6.5132494068160206E-4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4.5777545859667687E-5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0.46156541860957989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0.30768820410056108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0.5007431684068675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7150.3358027545992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1.9140819711783941</v>
      </c>
      <c r="R34" s="27">
        <v>0.57882803112079095</v>
      </c>
      <c r="S34" s="28">
        <v>0.62653693162807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-0.12435761396070477</v>
      </c>
      <c r="R35" s="27">
        <v>2.6363622531469781</v>
      </c>
      <c r="S35" s="28">
        <v>-2.8307925590640277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0.44711201990696353</v>
      </c>
      <c r="R36" s="29">
        <v>-0.60019522753518895</v>
      </c>
      <c r="S36" s="30">
        <v>4.8598464771314296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0.88347404628000525</v>
      </c>
      <c r="R41" s="27">
        <v>0.2671670024872268</v>
      </c>
      <c r="S41" s="28">
        <v>0.28918778112127186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-3.8263370905800113E-2</v>
      </c>
      <c r="R42" s="27">
        <v>0.81117756702930244</v>
      </c>
      <c r="S42" s="28">
        <v>-0.87100147867964217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0.22388828948100734</v>
      </c>
      <c r="R43" s="29">
        <v>-0.30054365989865128</v>
      </c>
      <c r="S43" s="30">
        <v>2.4335349229297454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0.64555884356775517</v>
      </c>
      <c r="R48" s="27">
        <v>0.19522024658374063</v>
      </c>
      <c r="S48" s="28">
        <v>0.21131093815449242</v>
      </c>
      <c r="T48">
        <v>2.9649999999999999</v>
      </c>
      <c r="U48">
        <f>T48*Q48</f>
        <v>1.9140819711783941</v>
      </c>
      <c r="V48" s="50">
        <f>T48*R48</f>
        <v>0.57882803112079095</v>
      </c>
      <c r="W48">
        <f>T48*S48</f>
        <v>0.62653693162807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-4.1941859683205657E-2</v>
      </c>
      <c r="R49" s="27">
        <v>0.88916096227554076</v>
      </c>
      <c r="S49" s="28">
        <v>-0.95473610761012739</v>
      </c>
      <c r="T49">
        <v>2.9649999999999999</v>
      </c>
      <c r="U49">
        <f t="shared" ref="U49:U50" si="8">T49*Q49</f>
        <v>-0.12435761396070477</v>
      </c>
      <c r="V49" s="51">
        <f t="shared" ref="V49:V50" si="9">T49*R49</f>
        <v>2.6363622531469781</v>
      </c>
      <c r="W49">
        <f t="shared" ref="W49:W50" si="10">T49*S49</f>
        <v>-2.8307925590640277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0.15079663403270271</v>
      </c>
      <c r="R50" s="29">
        <v>-0.20242672092249206</v>
      </c>
      <c r="S50" s="30">
        <v>1.6390713244962665</v>
      </c>
      <c r="T50">
        <v>2.9649999999999999</v>
      </c>
      <c r="U50">
        <f t="shared" si="8"/>
        <v>0.44711201990696353</v>
      </c>
      <c r="V50" s="51">
        <f t="shared" si="9"/>
        <v>-0.60019522753518895</v>
      </c>
      <c r="W50">
        <f t="shared" si="10"/>
        <v>4.8598464771314296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2020-06-24T00:17:41Z</dcterms:modified>
</cp:coreProperties>
</file>