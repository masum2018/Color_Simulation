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F9EDC227-7592-4B75-997C-3466D1716B6C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<sst xmlns="http://schemas.openxmlformats.org/spreadsheetml/2006/main" count="72" uniqueCount="30">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</sst>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X37" sqref="X37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5228.1814288708829</v>
      </c>
      <c r="R6" s="6">
        <v>2175.3796494541775</v>
      </c>
      <c r="S6" s="6">
        <v>23430.083801406348</v>
      </c>
      <c r="T6" s="6">
        <f t="shared" ref="T6:T23" si="2">Q6/(Q6+R6+S6)</f>
        <v>0.16956092765755515</v>
      </c>
      <c r="U6" s="7">
        <f t="shared" ref="U6:U23" si="3">R6/(Q6+R6+S6)</f>
        <v>7.0552140622342385E-2</v>
      </c>
      <c r="V6" s="45">
        <v>0</v>
      </c>
      <c r="W6" s="86">
        <f t="shared" ref="W6:X21" si="4">J6-T6</f>
        <v>-2.2605718799980939E-2</v>
      </c>
      <c r="X6" s="87">
        <f t="shared" si="4"/>
        <v>-1.7205386721990096E-2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5424.2855550589848</v>
      </c>
      <c r="R7" s="6">
        <v>17621.895375170727</v>
      </c>
      <c r="S7" s="6">
        <v>4654.2098339379063</v>
      </c>
      <c r="T7" s="6">
        <f t="shared" si="2"/>
        <v>0.19581982078302212</v>
      </c>
      <c r="U7" s="7">
        <f t="shared" si="3"/>
        <v>0.63616053380611048</v>
      </c>
      <c r="V7" s="45">
        <v>0</v>
      </c>
      <c r="W7" s="86">
        <f t="shared" si="4"/>
        <v>4.6147256591288766E-3</v>
      </c>
      <c r="X7" s="87">
        <f t="shared" si="4"/>
        <v>5.6941041424742322E-2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28756.417500866599</v>
      </c>
      <c r="R8" s="6">
        <v>12314.982802505783</v>
      </c>
      <c r="S8" s="6">
        <v>7395.2684155518182</v>
      </c>
      <c r="T8" s="6">
        <f t="shared" si="2"/>
        <v>0.5933235821846039</v>
      </c>
      <c r="U8" s="7">
        <f t="shared" si="3"/>
        <v>0.25409179396927062</v>
      </c>
      <c r="V8" s="45">
        <v>0</v>
      </c>
      <c r="W8" s="86">
        <f t="shared" si="4"/>
        <v>8.8359879581845546E-2</v>
      </c>
      <c r="X8" s="87">
        <f t="shared" si="4"/>
        <v>5.5333220849935083E-2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11158.260976396328</v>
      </c>
      <c r="R9" s="6">
        <v>5317.123432818792</v>
      </c>
      <c r="S9" s="6">
        <v>24832.351604622698</v>
      </c>
      <c r="T9" s="6">
        <f t="shared" si="2"/>
        <v>0.27012521268796685</v>
      </c>
      <c r="U9" s="7">
        <f t="shared" si="3"/>
        <v>0.12871979793415914</v>
      </c>
      <c r="V9" s="45">
        <v>0</v>
      </c>
      <c r="W9" s="86">
        <f t="shared" si="4"/>
        <v>-4.3546591144425773E-2</v>
      </c>
      <c r="X9" s="87">
        <f t="shared" si="4"/>
        <v>-1.7700400492970531E-2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7358.5499796676158</v>
      </c>
      <c r="R10" s="6">
        <v>6208.1283249567978</v>
      </c>
      <c r="S10" s="6">
        <v>24310.112870827383</v>
      </c>
      <c r="T10" s="6">
        <f t="shared" si="2"/>
        <v>0.19427596032571895</v>
      </c>
      <c r="U10" s="7">
        <f t="shared" si="3"/>
        <v>0.16390322760446316</v>
      </c>
      <c r="V10" s="45">
        <v>0</v>
      </c>
      <c r="W10" s="86">
        <f t="shared" si="4"/>
        <v>-2.2426533157142825E-2</v>
      </c>
      <c r="X10" s="87">
        <f t="shared" si="4"/>
        <v>-1.4646023998804714E-3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29632.729232526679</v>
      </c>
      <c r="R11" s="6">
        <v>13264.41547625923</v>
      </c>
      <c r="S11" s="6">
        <v>12158.840197938021</v>
      </c>
      <c r="T11" s="6">
        <f t="shared" si="2"/>
        <v>0.5382290278292281</v>
      </c>
      <c r="U11" s="7">
        <f t="shared" si="3"/>
        <v>0.24092595017111862</v>
      </c>
      <c r="V11" s="45">
        <v>0</v>
      </c>
      <c r="W11" s="86">
        <f t="shared" si="4"/>
        <v>2.2397989229324344E-2</v>
      </c>
      <c r="X11" s="87">
        <f t="shared" si="4"/>
        <v>3.201088708107136E-2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7500.9860637572856</v>
      </c>
      <c r="R12" s="6">
        <v>18329.362085733945</v>
      </c>
      <c r="S12" s="6">
        <v>9493.9129383160616</v>
      </c>
      <c r="T12" s="6">
        <f t="shared" si="2"/>
        <v>0.21234658087006289</v>
      </c>
      <c r="U12" s="7">
        <f t="shared" si="3"/>
        <v>0.51888876147109575</v>
      </c>
      <c r="V12" s="45">
        <v>0</v>
      </c>
      <c r="W12" s="89">
        <f t="shared" si="4"/>
        <v>-6.1343289287341396E-3</v>
      </c>
      <c r="X12" s="90">
        <f t="shared" si="4"/>
        <v>4.9273447329594489E-2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11317.656043716179</v>
      </c>
      <c r="R13" s="6">
        <v>19961.162309337196</v>
      </c>
      <c r="S13" s="6">
        <v>6805.5620004094271</v>
      </c>
      <c r="T13" s="6">
        <f t="shared" si="2"/>
        <v>0.29717317017308714</v>
      </c>
      <c r="U13" s="7">
        <f t="shared" si="3"/>
        <v>0.52412989588058867</v>
      </c>
      <c r="V13" s="45">
        <v>0</v>
      </c>
      <c r="W13" s="86">
        <f t="shared" si="4"/>
        <v>-2.3279364863352636E-2</v>
      </c>
      <c r="X13" s="87">
        <f t="shared" si="4"/>
        <v>8.6047095269853768E-2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29562.904755567841</v>
      </c>
      <c r="R14" s="6">
        <v>15770.591949870128</v>
      </c>
      <c r="S14" s="6">
        <v>8953.8360949680318</v>
      </c>
      <c r="T14" s="6">
        <f t="shared" si="2"/>
        <v>0.54456358842051544</v>
      </c>
      <c r="U14" s="7">
        <f t="shared" si="3"/>
        <v>0.29050224308961048</v>
      </c>
      <c r="V14" s="45">
        <v>0</v>
      </c>
      <c r="W14" s="86">
        <f t="shared" si="4"/>
        <v>2.9545229590741573E-2</v>
      </c>
      <c r="X14" s="87">
        <f t="shared" si="4"/>
        <v>7.7696631206824796E-2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37179.537539781246</v>
      </c>
      <c r="R15" s="6">
        <v>30644.305880162039</v>
      </c>
      <c r="S15" s="6">
        <v>32910.917817394962</v>
      </c>
      <c r="T15" s="6">
        <f t="shared" si="2"/>
        <v>0.36908349295814202</v>
      </c>
      <c r="U15" s="7">
        <f t="shared" si="3"/>
        <v>0.30420785738462097</v>
      </c>
      <c r="V15" s="45">
        <v>0</v>
      </c>
      <c r="W15" s="86">
        <f t="shared" si="4"/>
        <v>-4.200475859463948E-2</v>
      </c>
      <c r="X15" s="87">
        <f t="shared" si="4"/>
        <v>4.0898838715452579E-2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15824.308757983192</v>
      </c>
      <c r="R16" s="6">
        <v>14412.560987737772</v>
      </c>
      <c r="S16" s="6">
        <v>14200.653942079789</v>
      </c>
      <c r="T16" s="6">
        <f t="shared" si="2"/>
        <v>0.35610239826049017</v>
      </c>
      <c r="U16" s="7">
        <f t="shared" si="3"/>
        <v>0.32433312641348622</v>
      </c>
      <c r="V16" s="45">
        <v>0</v>
      </c>
      <c r="W16" s="86">
        <f t="shared" si="4"/>
        <v>-3.8907072717919267E-2</v>
      </c>
      <c r="X16" s="87">
        <f t="shared" si="4"/>
        <v>5.0875554721739158E-2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18.683353730732065</v>
      </c>
      <c r="H17">
        <v>13.640554893138333</v>
      </c>
      <c r="I17">
        <v>0.93002375954264482</v>
      </c>
      <c r="J17" s="69">
        <f t="shared" si="0"/>
        <v>0.5618389282601437</v>
      </c>
      <c r="K17" s="69">
        <f t="shared" si="1"/>
        <v>0.41019373997230479</v>
      </c>
      <c r="L17" s="72"/>
      <c r="M17">
        <v>19.791199028073869</v>
      </c>
      <c r="N17">
        <v>11.275405303657475</v>
      </c>
      <c r="O17">
        <v>2.6677237917458148</v>
      </c>
      <c r="P17" s="73">
        <f>J117</f>
        <v>0</v>
      </c>
      <c r="Q17" s="74">
        <v>18.728964977942503</v>
      </c>
      <c r="R17" s="75">
        <v>13.674108026265671</v>
      </c>
      <c r="S17" s="75">
        <v>0.9317957324978785</v>
      </c>
      <c r="T17" s="75">
        <f t="shared" si="2"/>
        <v>0.56184306966595188</v>
      </c>
      <c r="U17" s="76">
        <f t="shared" si="3"/>
        <v>0.41020434591388349</v>
      </c>
      <c r="V17" s="73">
        <v>1</v>
      </c>
      <c r="W17" s="91">
        <f t="shared" si="4"/>
        <v>-4.1414058081779004E-6</v>
      </c>
      <c r="X17" s="92">
        <f t="shared" si="4"/>
        <v>-1.0605941578700762E-5</v>
      </c>
      <c r="Y17" s="91">
        <f t="shared" si="5"/>
        <v>-4.1414058081779004E-6</v>
      </c>
      <c r="Z17" s="93">
        <f t="shared" si="5"/>
        <v>-1.0605941578700762E-5</v>
      </c>
      <c r="AB17" s="97">
        <f>(H17-R17)/H17</f>
        <v>-2.4598070525867215E-3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5.3347588852140726</v>
      </c>
      <c r="H18">
        <v>19.593858695140671</v>
      </c>
      <c r="I18">
        <v>3.2083810547478939</v>
      </c>
      <c r="J18" s="69">
        <f t="shared" si="0"/>
        <v>0.18959942936339461</v>
      </c>
      <c r="K18" s="69">
        <f t="shared" si="1"/>
        <v>0.69637344584067074</v>
      </c>
      <c r="L18" s="72"/>
      <c r="M18">
        <v>2.5539512461720908</v>
      </c>
      <c r="N18">
        <v>24.827364665660575</v>
      </c>
      <c r="O18">
        <v>7.9789876609002768</v>
      </c>
      <c r="P18" s="73">
        <f>J125</f>
        <v>0</v>
      </c>
      <c r="Q18" s="74">
        <v>5.348455602291196</v>
      </c>
      <c r="R18" s="75">
        <v>19.643587773375963</v>
      </c>
      <c r="S18" s="75">
        <v>3.2176709325300727</v>
      </c>
      <c r="T18" s="75">
        <f t="shared" si="2"/>
        <v>0.18959623425668767</v>
      </c>
      <c r="U18" s="76">
        <f t="shared" si="3"/>
        <v>0.69634125176758321</v>
      </c>
      <c r="V18" s="73">
        <v>1</v>
      </c>
      <c r="W18" s="91">
        <f t="shared" si="4"/>
        <v>3.1951067069324601E-6</v>
      </c>
      <c r="X18" s="92">
        <f t="shared" si="4"/>
        <v>3.2194073087521424E-5</v>
      </c>
      <c r="Y18" s="91">
        <f t="shared" si="5"/>
        <v>3.1951067069324601E-6</v>
      </c>
      <c r="Z18" s="93">
        <f t="shared" si="5"/>
        <v>3.2194073087521424E-5</v>
      </c>
      <c r="AB18" s="97">
        <f t="shared" ref="AB18:AB23" si="6">(H18-R18)/H18</f>
        <v>-2.5379931032994646E-3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6.3348830175447599</v>
      </c>
      <c r="H19">
        <v>1.6883679797936419</v>
      </c>
      <c r="I19">
        <v>33.79944945660823</v>
      </c>
      <c r="J19" s="69">
        <f t="shared" si="0"/>
        <v>0.15146996604201735</v>
      </c>
      <c r="K19" s="69">
        <f t="shared" si="1"/>
        <v>4.03696547919664E-2</v>
      </c>
      <c r="L19" s="72"/>
      <c r="M19">
        <v>0.85992092032115863</v>
      </c>
      <c r="N19">
        <v>3.684570391652096</v>
      </c>
      <c r="O19">
        <v>14.55930826337482</v>
      </c>
      <c r="P19" s="73">
        <f>J133</f>
        <v>0</v>
      </c>
      <c r="Q19" s="74">
        <v>6.3500293794399294</v>
      </c>
      <c r="R19" s="75">
        <v>1.6916793159917667</v>
      </c>
      <c r="S19" s="75">
        <v>33.881364944217687</v>
      </c>
      <c r="T19" s="75">
        <f t="shared" si="2"/>
        <v>0.15146860256530173</v>
      </c>
      <c r="U19" s="76">
        <f t="shared" si="3"/>
        <v>4.0351986844586588E-2</v>
      </c>
      <c r="V19" s="77">
        <v>1</v>
      </c>
      <c r="W19" s="91">
        <f t="shared" si="4"/>
        <v>1.3634767156156524E-6</v>
      </c>
      <c r="X19" s="92">
        <f t="shared" si="4"/>
        <v>1.7667947379812476E-5</v>
      </c>
      <c r="Y19" s="91">
        <f t="shared" si="5"/>
        <v>1.3634767156156524E-6</v>
      </c>
      <c r="Z19" s="93">
        <f t="shared" si="5"/>
        <v>1.7667947379812476E-5</v>
      </c>
      <c r="AB19" s="97">
        <f t="shared" si="6"/>
        <v>-1.9612645097246274E-3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24.018112615946141</v>
      </c>
      <c r="H20">
        <v>33.234413588279004</v>
      </c>
      <c r="I20">
        <v>4.1384048142905385</v>
      </c>
      <c r="J20" s="69">
        <f t="shared" si="0"/>
        <v>0.39123225886087648</v>
      </c>
      <c r="K20" s="69">
        <f t="shared" si="1"/>
        <v>0.54135705448505755</v>
      </c>
      <c r="L20" s="72"/>
      <c r="M20">
        <v>22.345150274245963</v>
      </c>
      <c r="N20">
        <v>36.102769969318054</v>
      </c>
      <c r="O20">
        <v>10.646711452646091</v>
      </c>
      <c r="P20" s="73">
        <f>J141</f>
        <v>0</v>
      </c>
      <c r="Q20" s="74">
        <v>24.077420580233699</v>
      </c>
      <c r="R20" s="75">
        <v>33.317695799641633</v>
      </c>
      <c r="S20" s="75">
        <v>4.1494666650279477</v>
      </c>
      <c r="T20" s="75">
        <f t="shared" si="2"/>
        <v>0.39121916810561014</v>
      </c>
      <c r="U20" s="76">
        <f t="shared" si="3"/>
        <v>0.54135870536864072</v>
      </c>
      <c r="V20" s="73">
        <v>1</v>
      </c>
      <c r="W20" s="91">
        <f t="shared" si="4"/>
        <v>1.3090755266342846E-5</v>
      </c>
      <c r="X20" s="92">
        <f t="shared" si="4"/>
        <v>-1.6508835831707813E-6</v>
      </c>
      <c r="Y20" s="91">
        <f t="shared" si="5"/>
        <v>1.3090755266342846E-5</v>
      </c>
      <c r="Z20" s="93">
        <f t="shared" si="5"/>
        <v>-1.6508835831707813E-6</v>
      </c>
      <c r="AB20" s="97">
        <f t="shared" si="6"/>
        <v>-2.5059028389777557E-3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25.018236748276824</v>
      </c>
      <c r="H21">
        <v>15.328922872931974</v>
      </c>
      <c r="I21">
        <v>34.729473216150872</v>
      </c>
      <c r="J21" s="69">
        <f t="shared" si="0"/>
        <v>0.33323599904213119</v>
      </c>
      <c r="K21" s="69">
        <f t="shared" si="1"/>
        <v>0.2041770161181761</v>
      </c>
      <c r="L21" s="72"/>
      <c r="M21">
        <v>20.651119948395028</v>
      </c>
      <c r="N21">
        <v>14.959975695309572</v>
      </c>
      <c r="O21">
        <v>17.227032055120631</v>
      </c>
      <c r="P21" s="73">
        <f>J149</f>
        <v>0</v>
      </c>
      <c r="Q21" s="74">
        <v>25.078994357382431</v>
      </c>
      <c r="R21" s="75">
        <v>15.365787342257439</v>
      </c>
      <c r="S21" s="75">
        <v>34.813160676715555</v>
      </c>
      <c r="T21" s="75">
        <f t="shared" si="2"/>
        <v>0.33324050014502865</v>
      </c>
      <c r="U21" s="76">
        <f t="shared" si="3"/>
        <v>0.20417495957323792</v>
      </c>
      <c r="V21" s="77">
        <v>1</v>
      </c>
      <c r="W21" s="91">
        <f t="shared" si="4"/>
        <v>-4.50110289745842E-6</v>
      </c>
      <c r="X21" s="92">
        <f t="shared" si="4"/>
        <v>2.0565449381781953E-6</v>
      </c>
      <c r="Y21" s="91">
        <f t="shared" si="5"/>
        <v>-4.50110289745842E-6</v>
      </c>
      <c r="Z21" s="93">
        <f t="shared" si="5"/>
        <v>2.0565449381781953E-6</v>
      </c>
      <c r="AB21" s="97">
        <f t="shared" si="6"/>
        <v>-2.4048962625130665E-3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11.669641902758832</v>
      </c>
      <c r="H22">
        <v>21.282226674934314</v>
      </c>
      <c r="I22">
        <v>37.007830511356119</v>
      </c>
      <c r="J22" s="69">
        <f t="shared" si="0"/>
        <v>0.16680520434922042</v>
      </c>
      <c r="K22" s="69">
        <f t="shared" si="1"/>
        <v>0.30420694988760472</v>
      </c>
      <c r="L22" s="72"/>
      <c r="M22">
        <v>3.4138721664932494</v>
      </c>
      <c r="N22">
        <v>28.51193505731267</v>
      </c>
      <c r="O22">
        <v>22.538295924275094</v>
      </c>
      <c r="P22" s="73">
        <f>J157</f>
        <v>0</v>
      </c>
      <c r="Q22" s="74">
        <v>11.698484981731124</v>
      </c>
      <c r="R22" s="75">
        <v>21.335267089367726</v>
      </c>
      <c r="S22" s="75">
        <v>37.099035876747749</v>
      </c>
      <c r="T22" s="75">
        <f t="shared" si="2"/>
        <v>0.16680479022779704</v>
      </c>
      <c r="U22" s="76">
        <f t="shared" si="3"/>
        <v>0.30421244775315992</v>
      </c>
      <c r="V22" s="73">
        <v>1</v>
      </c>
      <c r="W22" s="91">
        <f t="shared" ref="W22:X23" si="7">J22-T22</f>
        <v>4.1412142337549085E-7</v>
      </c>
      <c r="X22" s="92">
        <f t="shared" si="7"/>
        <v>-5.4978655552040401E-6</v>
      </c>
      <c r="Y22" s="91">
        <f t="shared" si="5"/>
        <v>4.1412142337549085E-7</v>
      </c>
      <c r="Z22" s="93">
        <f t="shared" si="5"/>
        <v>-5.4978655552040401E-6</v>
      </c>
      <c r="AB22" s="97">
        <f t="shared" si="6"/>
        <v>-2.4922398978054795E-3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30.352995633490899</v>
      </c>
      <c r="H23">
        <v>34.922781568072651</v>
      </c>
      <c r="I23">
        <v>37.937854270898768</v>
      </c>
      <c r="J23" s="69">
        <f t="shared" si="0"/>
        <v>0.29407933041857132</v>
      </c>
      <c r="K23" s="69">
        <f t="shared" si="1"/>
        <v>0.33835435368234423</v>
      </c>
      <c r="L23" s="72"/>
      <c r="M23">
        <v>23.205071194567118</v>
      </c>
      <c r="N23">
        <v>39.787340360970148</v>
      </c>
      <c r="O23">
        <v>25.206019716020911</v>
      </c>
      <c r="P23" s="77">
        <f>J165</f>
        <v>0</v>
      </c>
      <c r="Q23" s="79">
        <v>30.427449959673631</v>
      </c>
      <c r="R23" s="80">
        <v>35.009375115633404</v>
      </c>
      <c r="S23" s="80">
        <v>38.030831609245638</v>
      </c>
      <c r="T23" s="80">
        <f t="shared" si="2"/>
        <v>0.29407692156824822</v>
      </c>
      <c r="U23" s="81">
        <f t="shared" si="3"/>
        <v>0.33836056829206385</v>
      </c>
      <c r="V23" s="77">
        <v>1</v>
      </c>
      <c r="W23" s="94">
        <f t="shared" si="7"/>
        <v>2.4088503230990099E-6</v>
      </c>
      <c r="X23" s="95">
        <f t="shared" si="7"/>
        <v>-6.2146097196125183E-6</v>
      </c>
      <c r="Y23" s="94">
        <f t="shared" si="5"/>
        <v>2.4088503230990099E-6</v>
      </c>
      <c r="Z23" s="96">
        <f t="shared" si="5"/>
        <v>-6.2146097196125183E-6</v>
      </c>
      <c r="AB23" s="97">
        <f t="shared" si="6"/>
        <v>-2.4795718918311778E-3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4.1996717389926356E-5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0.96735241179211562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0.33480962515626617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0.47911243300458189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11926.032286106349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0.92472285623875738</v>
      </c>
      <c r="R34" s="27">
        <v>0.25838493754873004</v>
      </c>
      <c r="S34" s="28">
        <v>0.10289637248469298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7.0665069825317812E-4</v>
      </c>
      <c r="R35" s="27">
        <v>2.3827976123574484</v>
      </c>
      <c r="S35" s="28">
        <v>-2.0373231507464582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0.79992740472354851</v>
      </c>
      <c r="R36" s="29">
        <v>-0.20969643572377364</v>
      </c>
      <c r="S36" s="30">
        <v>5.2051947207532656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0.89453288522185581</v>
      </c>
      <c r="R41" s="27">
        <v>0.24994929250851919</v>
      </c>
      <c r="S41" s="28">
        <v>9.9537054087727644E-2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2.3659345539856031E-4</v>
      </c>
      <c r="R42" s="27">
        <v>0.79778357541664335</v>
      </c>
      <c r="S42" s="28">
        <v>-0.68211540042360486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0.38325516510414021</v>
      </c>
      <c r="R43" s="29">
        <v>-0.10046816951200611</v>
      </c>
      <c r="S43" s="30">
        <v>2.4938735069227023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0.39017842035390604</v>
      </c>
      <c r="R48" s="27">
        <v>0.10902318040030803</v>
      </c>
      <c r="S48" s="28">
        <v>4.3416190921811385E-2</v>
      </c>
      <c r="T48">
        <v>2.37</v>
      </c>
      <c r="U48">
        <f>T48*Q48</f>
        <v>0.92472285623875738</v>
      </c>
      <c r="V48" s="50">
        <f>T48*R48</f>
        <v>0.25838493754873004</v>
      </c>
      <c r="W48">
        <f>T48*S48</f>
        <v>0.10289637248469298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2.9816485158361944E-4</v>
      </c>
      <c r="R49" s="27">
        <v>1.0053998364377419</v>
      </c>
      <c r="S49" s="28">
        <v>-0.85963002141200762</v>
      </c>
      <c r="T49">
        <v>2.37</v>
      </c>
      <c r="U49">
        <f t="shared" ref="U49:U50" si="8">T49*Q49</f>
        <v>7.0665069825317812E-4</v>
      </c>
      <c r="V49" s="51">
        <f t="shared" ref="V49:V50" si="9">T49*R49</f>
        <v>2.3827976123574484</v>
      </c>
      <c r="W49">
        <f t="shared" ref="W49:W50" si="10">T49*S49</f>
        <v>-2.0373231507464582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0.3375221116976998</v>
      </c>
      <c r="R50" s="29">
        <v>-8.8479508744208277E-2</v>
      </c>
      <c r="S50" s="30">
        <v>2.196284692300956</v>
      </c>
      <c r="T50">
        <v>2.37</v>
      </c>
      <c r="U50">
        <f t="shared" si="8"/>
        <v>0.79992740472354851</v>
      </c>
      <c r="V50" s="51">
        <f t="shared" si="9"/>
        <v>-0.20969643572377364</v>
      </c>
      <c r="W50">
        <f t="shared" si="10"/>
        <v>5.2051947207532656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2020-06-26T18:25:28Z</dcterms:modified>
</cp:coreProperties>
</file>