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filterPrivacy="1" codeName="ThisWorkbook" defaultThemeVersion="124226"/>
  <xr:revisionPtr revIDLastSave="0" documentId="13_ncr:1_{FB54BB0E-7736-4837-9BE0-9CAFB1B9EAD7}" xr6:coauthVersionLast="45" xr6:coauthVersionMax="45" xr10:uidLastSave="{00000000-0000-0000-0000-000000000000}"/>
  <bookViews>
    <workbookView xWindow="-28920" yWindow="-120" windowWidth="29040" windowHeight="15840" tabRatio="861" xr2:uid="{00000000-000D-0000-FFFF-FFFF00000000}"/>
  </bookViews>
  <sheets>
    <sheet name="CALCULATOR " sheetId="44" r:id="rId1"/>
  </sheets>
  <definedNames>
    <definedName name="solver_adj" localSheetId="0" hidden="1">'CALCULATOR '!$Q$34:$S$36</definedName>
    <definedName name="solver_cvg" localSheetId="0" hidden="1">0.0001</definedName>
    <definedName name="solver_drv" localSheetId="0" hidden="1">1</definedName>
    <definedName name="solver_est" localSheetId="0" hidden="1">1</definedName>
    <definedName name="solver_itr" localSheetId="0" hidden="1">1000</definedName>
    <definedName name="solver_lin" localSheetId="0" hidden="1">2</definedName>
    <definedName name="solver_neg" localSheetId="0" hidden="1">2</definedName>
    <definedName name="solver_num" localSheetId="0" hidden="1">0</definedName>
    <definedName name="solver_nwt" localSheetId="0" hidden="1">1</definedName>
    <definedName name="solver_opt" localSheetId="0" hidden="1">'CALCULATOR '!$X$25</definedName>
    <definedName name="solver_pre" localSheetId="0" hidden="1">0.000001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ol" localSheetId="0" hidden="1">0.05</definedName>
    <definedName name="solver_typ" localSheetId="0" hidden="1">2</definedName>
    <definedName name="solver_val" localSheetId="0" hidden="1">0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27" i="44" l="1" a="1"/>
  <c r="Q27" i="44" s="1"/>
  <c r="P23" i="44" l="1"/>
  <c r="K23" i="44"/>
  <c r="J23" i="44"/>
  <c r="K22" i="44"/>
  <c r="J22" i="44"/>
  <c r="K21" i="44"/>
  <c r="J21" i="44"/>
  <c r="K20" i="44"/>
  <c r="J20" i="44"/>
  <c r="K19" i="44"/>
  <c r="J19" i="44"/>
  <c r="K18" i="44"/>
  <c r="J18" i="44"/>
  <c r="K17" i="44"/>
  <c r="J17" i="44"/>
  <c r="K16" i="44"/>
  <c r="J16" i="44"/>
  <c r="K15" i="44"/>
  <c r="J15" i="44"/>
  <c r="K14" i="44"/>
  <c r="J14" i="44"/>
  <c r="K13" i="44"/>
  <c r="J13" i="44"/>
  <c r="K12" i="44"/>
  <c r="J12" i="44"/>
  <c r="K11" i="44"/>
  <c r="J11" i="44"/>
  <c r="K10" i="44"/>
  <c r="J10" i="44"/>
  <c r="K9" i="44"/>
  <c r="J9" i="44"/>
  <c r="K8" i="44"/>
  <c r="J8" i="44"/>
  <c r="K7" i="44"/>
  <c r="J7" i="44"/>
  <c r="K6" i="44"/>
  <c r="J6" i="44"/>
  <c r="P22" i="44" l="1"/>
  <c r="P21" i="44"/>
  <c r="P20" i="44"/>
  <c r="P16" i="44"/>
  <c r="P9" i="44"/>
  <c r="P6" i="44"/>
  <c r="P10" i="44"/>
  <c r="P12" i="44"/>
  <c r="P14" i="44"/>
  <c r="P17" i="44"/>
  <c r="P18" i="44"/>
  <c r="P19" i="44"/>
  <c r="P15" i="44"/>
  <c r="P8" i="44"/>
  <c r="P11" i="44"/>
  <c r="P13" i="44"/>
  <c r="P7" i="44"/>
  <c r="S29" i="44" l="1" a="1"/>
  <c r="S29" i="44" s="1"/>
  <c r="R28" i="44" a="1"/>
  <c r="R28" i="44" s="1"/>
  <c r="Q41" i="44" l="1" a="1"/>
  <c r="Q42" i="44" s="1"/>
  <c r="R43" i="44" l="1"/>
  <c r="S43" i="44"/>
  <c r="R41" i="44"/>
  <c r="S41" i="44"/>
  <c r="S42" i="44"/>
  <c r="Q43" i="44"/>
  <c r="R42" i="44"/>
  <c r="Q41" i="44"/>
  <c r="V49" i="44" l="1"/>
  <c r="C31" i="44"/>
  <c r="Q6" i="44" a="1"/>
  <c r="Q20" i="44" s="1"/>
  <c r="U49" i="44" l="1"/>
  <c r="W48" i="44"/>
  <c r="V48" i="44"/>
  <c r="W50" i="44"/>
  <c r="V50" i="44"/>
  <c r="W49" i="44"/>
  <c r="U48" i="44"/>
  <c r="U50" i="44"/>
  <c r="Q13" i="44"/>
  <c r="Q16" i="44"/>
  <c r="Q14" i="44"/>
  <c r="S18" i="44"/>
  <c r="S14" i="44"/>
  <c r="Q10" i="44"/>
  <c r="R21" i="44"/>
  <c r="AB21" i="44" s="1"/>
  <c r="Q12" i="44"/>
  <c r="Q23" i="44"/>
  <c r="S10" i="44"/>
  <c r="Q6" i="44"/>
  <c r="R17" i="44"/>
  <c r="AB17" i="44" s="1"/>
  <c r="Q8" i="44"/>
  <c r="Q15" i="44"/>
  <c r="S6" i="44"/>
  <c r="R15" i="44"/>
  <c r="R13" i="44"/>
  <c r="R8" i="44"/>
  <c r="Q7" i="44"/>
  <c r="Q19" i="44"/>
  <c r="R16" i="44"/>
  <c r="R9" i="44"/>
  <c r="R12" i="44"/>
  <c r="R11" i="44"/>
  <c r="Q11" i="44"/>
  <c r="R22" i="44"/>
  <c r="AB22" i="44" s="1"/>
  <c r="R23" i="44"/>
  <c r="AB23" i="44" s="1"/>
  <c r="S20" i="44"/>
  <c r="S23" i="44"/>
  <c r="R19" i="44"/>
  <c r="AB19" i="44" s="1"/>
  <c r="R18" i="44"/>
  <c r="AB18" i="44" s="1"/>
  <c r="S21" i="44"/>
  <c r="S16" i="44"/>
  <c r="S19" i="44"/>
  <c r="R14" i="44"/>
  <c r="S17" i="44"/>
  <c r="S12" i="44"/>
  <c r="S15" i="44"/>
  <c r="R10" i="44"/>
  <c r="S13" i="44"/>
  <c r="S8" i="44"/>
  <c r="S11" i="44"/>
  <c r="R6" i="44"/>
  <c r="S9" i="44"/>
  <c r="Q21" i="44"/>
  <c r="S7" i="44"/>
  <c r="R7" i="44"/>
  <c r="Q22" i="44"/>
  <c r="Q9" i="44"/>
  <c r="R20" i="44"/>
  <c r="AB20" i="44" s="1"/>
  <c r="S22" i="44"/>
  <c r="Q18" i="44"/>
  <c r="Q17" i="44"/>
  <c r="T17" i="44" l="1"/>
  <c r="W17" i="44" s="1"/>
  <c r="Y17" i="44" s="1"/>
  <c r="U21" i="44"/>
  <c r="X21" i="44" s="1"/>
  <c r="Z21" i="44" s="1"/>
  <c r="U19" i="44"/>
  <c r="X19" i="44" s="1"/>
  <c r="Z19" i="44" s="1"/>
  <c r="U20" i="44"/>
  <c r="X20" i="44" s="1"/>
  <c r="Z20" i="44" s="1"/>
  <c r="T16" i="44"/>
  <c r="W16" i="44" s="1"/>
  <c r="Y16" i="44" s="1"/>
  <c r="U12" i="44"/>
  <c r="X12" i="44" s="1"/>
  <c r="Z12" i="44" s="1"/>
  <c r="T7" i="44"/>
  <c r="W7" i="44" s="1"/>
  <c r="Y7" i="44" s="1"/>
  <c r="U9" i="44"/>
  <c r="X9" i="44" s="1"/>
  <c r="Z9" i="44" s="1"/>
  <c r="U11" i="44"/>
  <c r="X11" i="44" s="1"/>
  <c r="Z11" i="44" s="1"/>
  <c r="T22" i="44"/>
  <c r="W22" i="44" s="1"/>
  <c r="Y22" i="44" s="1"/>
  <c r="U15" i="44"/>
  <c r="X15" i="44" s="1"/>
  <c r="Z15" i="44" s="1"/>
  <c r="T18" i="44"/>
  <c r="W18" i="44" s="1"/>
  <c r="Y18" i="44" s="1"/>
  <c r="T15" i="44"/>
  <c r="W15" i="44" s="1"/>
  <c r="Y15" i="44" s="1"/>
  <c r="U16" i="44"/>
  <c r="X16" i="44" s="1"/>
  <c r="Z16" i="44" s="1"/>
  <c r="T20" i="44"/>
  <c r="W20" i="44" s="1"/>
  <c r="Y20" i="44" s="1"/>
  <c r="U22" i="44"/>
  <c r="X22" i="44" s="1"/>
  <c r="Z22" i="44" s="1"/>
  <c r="U23" i="44"/>
  <c r="X23" i="44" s="1"/>
  <c r="Z23" i="44" s="1"/>
  <c r="T13" i="44"/>
  <c r="W13" i="44" s="1"/>
  <c r="Y13" i="44" s="1"/>
  <c r="T11" i="44"/>
  <c r="W11" i="44" s="1"/>
  <c r="Y11" i="44" s="1"/>
  <c r="U8" i="44"/>
  <c r="X8" i="44" s="1"/>
  <c r="Z8" i="44" s="1"/>
  <c r="T10" i="44"/>
  <c r="W10" i="44" s="1"/>
  <c r="Y10" i="44" s="1"/>
  <c r="U6" i="44"/>
  <c r="X6" i="44" s="1"/>
  <c r="Z6" i="44" s="1"/>
  <c r="U18" i="44"/>
  <c r="X18" i="44" s="1"/>
  <c r="Z18" i="44" s="1"/>
  <c r="T9" i="44"/>
  <c r="W9" i="44" s="1"/>
  <c r="Y9" i="44" s="1"/>
  <c r="T12" i="44"/>
  <c r="W12" i="44" s="1"/>
  <c r="Y12" i="44" s="1"/>
  <c r="T21" i="44"/>
  <c r="W21" i="44" s="1"/>
  <c r="Y21" i="44" s="1"/>
  <c r="T23" i="44"/>
  <c r="W23" i="44" s="1"/>
  <c r="Y23" i="44" s="1"/>
  <c r="T14" i="44"/>
  <c r="W14" i="44" s="1"/>
  <c r="Y14" i="44" s="1"/>
  <c r="T6" i="44"/>
  <c r="W6" i="44" s="1"/>
  <c r="Y6" i="44" s="1"/>
  <c r="U17" i="44"/>
  <c r="X17" i="44" s="1"/>
  <c r="Z17" i="44" s="1"/>
  <c r="U14" i="44"/>
  <c r="X14" i="44" s="1"/>
  <c r="Z14" i="44" s="1"/>
  <c r="U10" i="44"/>
  <c r="X10" i="44" s="1"/>
  <c r="Z10" i="44" s="1"/>
  <c r="T8" i="44"/>
  <c r="W8" i="44" s="1"/>
  <c r="Y8" i="44" s="1"/>
  <c r="U13" i="44"/>
  <c r="X13" i="44" s="1"/>
  <c r="Z13" i="44" s="1"/>
  <c r="U7" i="44"/>
  <c r="X7" i="44" s="1"/>
  <c r="Z7" i="44" s="1"/>
  <c r="T19" i="44"/>
  <c r="W19" i="44" s="1"/>
  <c r="Y19" i="44" s="1"/>
  <c r="X25" i="44" l="1"/>
</calcChain>
</file>

<file path=xl/sharedStrings.xml><?xml version="1.0" encoding="utf-8"?>
<sst xmlns="http://schemas.openxmlformats.org/spreadsheetml/2006/main" count="72" uniqueCount="30">
  <si>
    <t>#</t>
  </si>
  <si>
    <t>X</t>
  </si>
  <si>
    <t>Y</t>
  </si>
  <si>
    <t>Z</t>
  </si>
  <si>
    <t>Rx</t>
  </si>
  <si>
    <t>x</t>
  </si>
  <si>
    <t>y</t>
  </si>
  <si>
    <t xml:space="preserve">CALCULATED XYZ </t>
  </si>
  <si>
    <t>R1</t>
  </si>
  <si>
    <t>R2</t>
  </si>
  <si>
    <t>R3</t>
  </si>
  <si>
    <t>SCALING MATRIX</t>
  </si>
  <si>
    <t>MIXING Matrix</t>
  </si>
  <si>
    <t>CAL Matrix</t>
  </si>
  <si>
    <t>dx</t>
  </si>
  <si>
    <t>dy</t>
  </si>
  <si>
    <t>Errors</t>
  </si>
  <si>
    <t>MERIT</t>
  </si>
  <si>
    <t>OFFSET</t>
  </si>
  <si>
    <t>Date:</t>
  </si>
  <si>
    <t>NEW COLOR PATCHES</t>
  </si>
  <si>
    <t>ok</t>
  </si>
  <si>
    <t>FLAG:</t>
  </si>
  <si>
    <t>Errors - Weighted</t>
  </si>
  <si>
    <t>R</t>
  </si>
  <si>
    <t>G</t>
  </si>
  <si>
    <t>B</t>
  </si>
  <si>
    <t>RGB Signal Levels</t>
  </si>
  <si>
    <t>Refrence color from spevctroradiometer</t>
  </si>
  <si>
    <t>dY(%)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</si>
</sst>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;@"/>
    <numFmt numFmtId="165" formatCode="0.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2"/>
      <color theme="1"/>
      <name val="Arial Black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03">
    <xf numFmtId="0" fontId="0" fillId="0" borderId="0" xfId="0"/>
    <xf numFmtId="11" fontId="0" fillId="0" borderId="0" xfId="0" applyNumberFormat="1"/>
    <xf numFmtId="0" fontId="1" fillId="0" borderId="0" xfId="0" applyFont="1" applyAlignment="1">
      <alignment horizontal="center"/>
    </xf>
    <xf numFmtId="0" fontId="2" fillId="0" borderId="0" xfId="0" applyFont="1"/>
    <xf numFmtId="0" fontId="0" fillId="0" borderId="1" xfId="0" applyBorder="1"/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14" xfId="0" applyBorder="1" applyAlignment="1">
      <alignment horizontal="center"/>
    </xf>
    <xf numFmtId="0" fontId="0" fillId="7" borderId="8" xfId="0" applyFill="1" applyBorder="1"/>
    <xf numFmtId="0" fontId="0" fillId="6" borderId="8" xfId="0" applyFill="1" applyBorder="1" applyAlignment="1">
      <alignment horizontal="center"/>
    </xf>
    <xf numFmtId="0" fontId="2" fillId="0" borderId="9" xfId="0" applyFont="1" applyBorder="1"/>
    <xf numFmtId="0" fontId="2" fillId="0" borderId="10" xfId="0" applyFont="1" applyBorder="1"/>
    <xf numFmtId="0" fontId="0" fillId="9" borderId="9" xfId="0" applyFill="1" applyBorder="1" applyAlignment="1">
      <alignment horizontal="left"/>
    </xf>
    <xf numFmtId="0" fontId="0" fillId="9" borderId="13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5" fillId="4" borderId="9" xfId="0" applyFont="1" applyFill="1" applyBorder="1" applyAlignment="1">
      <alignment horizontal="left"/>
    </xf>
    <xf numFmtId="0" fontId="0" fillId="4" borderId="13" xfId="0" applyFill="1" applyBorder="1"/>
    <xf numFmtId="0" fontId="1" fillId="2" borderId="9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2" borderId="10" xfId="0" applyFont="1" applyFill="1" applyBorder="1" applyAlignment="1">
      <alignment horizontal="left"/>
    </xf>
    <xf numFmtId="0" fontId="0" fillId="7" borderId="9" xfId="0" applyFill="1" applyBorder="1"/>
    <xf numFmtId="0" fontId="0" fillId="7" borderId="13" xfId="0" applyFill="1" applyBorder="1"/>
    <xf numFmtId="0" fontId="0" fillId="7" borderId="10" xfId="0" applyFill="1" applyBorder="1"/>
    <xf numFmtId="0" fontId="0" fillId="0" borderId="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10" borderId="9" xfId="0" applyFill="1" applyBorder="1"/>
    <xf numFmtId="0" fontId="0" fillId="10" borderId="10" xfId="0" applyFill="1" applyBorder="1"/>
    <xf numFmtId="0" fontId="0" fillId="3" borderId="11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3" fillId="4" borderId="13" xfId="0" applyFont="1" applyFill="1" applyBorder="1"/>
    <xf numFmtId="0" fontId="3" fillId="4" borderId="10" xfId="0" applyFont="1" applyFill="1" applyBorder="1"/>
    <xf numFmtId="0" fontId="0" fillId="0" borderId="0" xfId="0" applyAlignment="1">
      <alignment horizontal="left"/>
    </xf>
    <xf numFmtId="0" fontId="0" fillId="6" borderId="4" xfId="0" applyFill="1" applyBorder="1" applyAlignment="1">
      <alignment horizontal="center"/>
    </xf>
    <xf numFmtId="164" fontId="6" fillId="4" borderId="13" xfId="0" applyNumberFormat="1" applyFont="1" applyFill="1" applyBorder="1" applyAlignment="1">
      <alignment horizontal="left"/>
    </xf>
    <xf numFmtId="0" fontId="0" fillId="2" borderId="9" xfId="0" applyFill="1" applyBorder="1"/>
    <xf numFmtId="0" fontId="0" fillId="6" borderId="3" xfId="0" applyFill="1" applyBorder="1"/>
    <xf numFmtId="0" fontId="0" fillId="2" borderId="6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6" xfId="0" applyFill="1" applyBorder="1" applyAlignment="1">
      <alignment horizontal="center"/>
    </xf>
    <xf numFmtId="0" fontId="2" fillId="0" borderId="0" xfId="0" applyFont="1" applyBorder="1"/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" fontId="0" fillId="2" borderId="13" xfId="0" applyNumberFormat="1" applyFill="1" applyBorder="1" applyAlignment="1">
      <alignment horizontal="center"/>
    </xf>
    <xf numFmtId="1" fontId="0" fillId="2" borderId="10" xfId="0" applyNumberFormat="1" applyFill="1" applyBorder="1" applyAlignment="1">
      <alignment horizontal="center"/>
    </xf>
    <xf numFmtId="0" fontId="4" fillId="0" borderId="0" xfId="0" applyFont="1" applyFill="1" applyBorder="1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1" fillId="0" borderId="0" xfId="0" applyFont="1" applyFill="1" applyBorder="1"/>
    <xf numFmtId="0" fontId="0" fillId="7" borderId="14" xfId="0" applyFill="1" applyBorder="1"/>
    <xf numFmtId="0" fontId="1" fillId="0" borderId="14" xfId="0" applyFont="1" applyBorder="1"/>
    <xf numFmtId="0" fontId="1" fillId="0" borderId="14" xfId="0" applyFont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2" fillId="0" borderId="0" xfId="0" applyFont="1" applyBorder="1" applyAlignment="1">
      <alignment horizontal="left"/>
    </xf>
    <xf numFmtId="0" fontId="0" fillId="4" borderId="0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0" xfId="0" applyFill="1" applyAlignment="1">
      <alignment horizontal="center"/>
    </xf>
    <xf numFmtId="0" fontId="1" fillId="13" borderId="14" xfId="0" applyFont="1" applyFill="1" applyBorder="1" applyAlignment="1">
      <alignment horizontal="center"/>
    </xf>
    <xf numFmtId="0" fontId="0" fillId="13" borderId="0" xfId="0" applyFill="1"/>
    <xf numFmtId="0" fontId="0" fillId="13" borderId="15" xfId="0" applyFill="1" applyBorder="1" applyAlignment="1">
      <alignment horizontal="center"/>
    </xf>
    <xf numFmtId="0" fontId="0" fillId="13" borderId="6" xfId="0" applyFill="1" applyBorder="1"/>
    <xf numFmtId="0" fontId="0" fillId="13" borderId="0" xfId="0" applyFill="1" applyBorder="1"/>
    <xf numFmtId="0" fontId="0" fillId="13" borderId="7" xfId="0" applyFill="1" applyBorder="1"/>
    <xf numFmtId="0" fontId="0" fillId="13" borderId="12" xfId="0" applyFill="1" applyBorder="1" applyAlignment="1">
      <alignment horizontal="center"/>
    </xf>
    <xf numFmtId="0" fontId="2" fillId="13" borderId="14" xfId="0" applyFont="1" applyFill="1" applyBorder="1" applyAlignment="1">
      <alignment horizontal="center"/>
    </xf>
    <xf numFmtId="0" fontId="0" fillId="13" borderId="3" xfId="0" applyFill="1" applyBorder="1"/>
    <xf numFmtId="0" fontId="0" fillId="13" borderId="8" xfId="0" applyFill="1" applyBorder="1"/>
    <xf numFmtId="0" fontId="0" fillId="13" borderId="4" xfId="0" applyFill="1" applyBorder="1"/>
    <xf numFmtId="0" fontId="1" fillId="0" borderId="1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4" fontId="0" fillId="4" borderId="13" xfId="0" applyNumberFormat="1" applyFill="1" applyBorder="1"/>
    <xf numFmtId="165" fontId="0" fillId="0" borderId="6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5" fontId="0" fillId="0" borderId="6" xfId="0" applyNumberFormat="1" applyFill="1" applyBorder="1" applyAlignment="1">
      <alignment horizontal="center"/>
    </xf>
    <xf numFmtId="165" fontId="0" fillId="0" borderId="7" xfId="0" applyNumberFormat="1" applyFill="1" applyBorder="1" applyAlignment="1">
      <alignment horizontal="center"/>
    </xf>
    <xf numFmtId="165" fontId="0" fillId="13" borderId="6" xfId="0" applyNumberFormat="1" applyFill="1" applyBorder="1" applyAlignment="1">
      <alignment horizontal="center"/>
    </xf>
    <xf numFmtId="165" fontId="0" fillId="13" borderId="7" xfId="0" applyNumberFormat="1" applyFill="1" applyBorder="1" applyAlignment="1">
      <alignment horizontal="center"/>
    </xf>
    <xf numFmtId="165" fontId="0" fillId="13" borderId="15" xfId="0" applyNumberFormat="1" applyFill="1" applyBorder="1" applyAlignment="1">
      <alignment horizontal="center"/>
    </xf>
    <xf numFmtId="165" fontId="0" fillId="13" borderId="3" xfId="0" applyNumberFormat="1" applyFill="1" applyBorder="1" applyAlignment="1">
      <alignment horizontal="center"/>
    </xf>
    <xf numFmtId="165" fontId="0" fillId="13" borderId="4" xfId="0" applyNumberFormat="1" applyFill="1" applyBorder="1" applyAlignment="1">
      <alignment horizontal="center"/>
    </xf>
    <xf numFmtId="165" fontId="0" fillId="13" borderId="12" xfId="0" applyNumberFormat="1" applyFill="1" applyBorder="1" applyAlignment="1">
      <alignment horizontal="center"/>
    </xf>
    <xf numFmtId="10" fontId="0" fillId="7" borderId="0" xfId="1" applyNumberFormat="1" applyFont="1" applyFill="1"/>
    <xf numFmtId="0" fontId="0" fillId="7" borderId="9" xfId="0" applyFill="1" applyBorder="1" applyAlignment="1">
      <alignment horizontal="center"/>
    </xf>
    <xf numFmtId="0" fontId="0" fillId="7" borderId="13" xfId="0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9" borderId="5" xfId="0" applyFill="1" applyBorder="1" applyAlignment="1">
      <alignment horizontal="center"/>
    </xf>
    <xf numFmtId="0" fontId="0" fillId="9" borderId="2" xfId="0" applyFill="1" applyBorder="1" applyAlignment="1">
      <alignment horizontal="center"/>
    </xf>
  </cellXfs>
  <cellStyles count="2">
    <cellStyle name="Normal" xfId="0" builtinId="0"/>
    <cellStyle name="Percent" xfId="1" builtinId="5"/>
  </cellStyles>
  <dxfs count="1">
    <dxf>
      <font>
        <condense val="0"/>
        <extend val="0"/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106680</xdr:colOff>
          <xdr:row>26</xdr:row>
          <xdr:rowOff>53340</xdr:rowOff>
        </xdr:from>
        <xdr:to>
          <xdr:col>25</xdr:col>
          <xdr:colOff>952500</xdr:colOff>
          <xdr:row>28</xdr:row>
          <xdr:rowOff>38100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Matrix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3"/>
  <dimension ref="A1:AB187"/>
  <sheetViews>
    <sheetView tabSelected="1" topLeftCell="D10" zoomScale="85" zoomScaleNormal="85" workbookViewId="0">
      <selection activeCell="Y38" sqref="Y38"/>
    </sheetView>
  </sheetViews>
  <sheetFormatPr defaultRowHeight="14.4" x14ac:dyDescent="0.3"/>
  <cols>
    <col min="1" max="2" width="11.6640625" customWidth="1"/>
    <col min="3" max="3" width="14.21875" customWidth="1"/>
    <col min="4" max="4" width="9.109375" style="50"/>
    <col min="5" max="5" width="11.5546875" customWidth="1"/>
    <col min="6" max="6" width="13.5546875" customWidth="1"/>
    <col min="16" max="16" width="9.44140625" customWidth="1"/>
    <col min="22" max="22" width="10" style="50" customWidth="1"/>
    <col min="23" max="23" width="12.6640625" bestFit="1" customWidth="1"/>
    <col min="24" max="24" width="12" bestFit="1" customWidth="1"/>
    <col min="25" max="25" width="12" customWidth="1"/>
    <col min="26" max="26" width="15.5546875" customWidth="1"/>
    <col min="27" max="27" width="6.21875" customWidth="1"/>
  </cols>
  <sheetData>
    <row r="1" spans="1:28" ht="24" thickBot="1" x14ac:dyDescent="0.5">
      <c r="D1" s="19" t="s">
        <v>19</v>
      </c>
      <c r="E1" s="85">
        <v>44004</v>
      </c>
      <c r="F1" s="39"/>
      <c r="G1" s="20"/>
      <c r="H1" s="35"/>
      <c r="I1" s="36"/>
      <c r="L1" s="98"/>
      <c r="M1" s="99"/>
      <c r="N1" s="99"/>
      <c r="O1" s="100"/>
    </row>
    <row r="2" spans="1:28" ht="15" thickBot="1" x14ac:dyDescent="0.35">
      <c r="D2" s="21" t="s">
        <v>20</v>
      </c>
      <c r="E2" s="22"/>
      <c r="F2" s="22"/>
      <c r="G2" s="22"/>
      <c r="H2" s="22"/>
      <c r="I2" s="23"/>
      <c r="L2" s="40" t="s">
        <v>18</v>
      </c>
      <c r="M2" s="52"/>
      <c r="N2" s="52"/>
      <c r="O2" s="53"/>
      <c r="P2" s="27"/>
      <c r="Q2" s="27"/>
    </row>
    <row r="3" spans="1:28" ht="15" thickBot="1" x14ac:dyDescent="0.35">
      <c r="D3" s="37"/>
      <c r="G3" s="1"/>
    </row>
    <row r="4" spans="1:28" ht="15" thickBot="1" x14ac:dyDescent="0.35">
      <c r="E4" s="58" t="s">
        <v>0</v>
      </c>
      <c r="F4" s="58" t="s">
        <v>28</v>
      </c>
      <c r="G4" s="58"/>
      <c r="H4" s="58"/>
      <c r="I4" s="58"/>
      <c r="J4" s="58"/>
      <c r="K4" s="58"/>
      <c r="L4" s="9"/>
      <c r="M4" s="13" t="s">
        <v>27</v>
      </c>
      <c r="N4" s="14"/>
      <c r="O4" s="15"/>
      <c r="P4" s="33"/>
      <c r="Q4" s="24" t="s">
        <v>7</v>
      </c>
      <c r="R4" s="25"/>
      <c r="S4" s="25"/>
      <c r="T4" s="25"/>
      <c r="U4" s="26"/>
      <c r="V4" s="46"/>
      <c r="W4" s="31" t="s">
        <v>16</v>
      </c>
      <c r="X4" s="32"/>
      <c r="Y4" s="31" t="s">
        <v>23</v>
      </c>
      <c r="Z4" s="32"/>
      <c r="AB4" t="s">
        <v>29</v>
      </c>
    </row>
    <row r="5" spans="1:28" ht="15" thickBot="1" x14ac:dyDescent="0.35">
      <c r="A5" s="61" t="s">
        <v>24</v>
      </c>
      <c r="B5" s="61" t="s">
        <v>25</v>
      </c>
      <c r="C5" s="61" t="s">
        <v>26</v>
      </c>
      <c r="E5" s="8"/>
      <c r="F5" s="59"/>
      <c r="G5" s="60" t="s">
        <v>1</v>
      </c>
      <c r="H5" s="60" t="s">
        <v>2</v>
      </c>
      <c r="I5" s="60" t="s">
        <v>3</v>
      </c>
      <c r="J5" s="60" t="s">
        <v>5</v>
      </c>
      <c r="K5" s="60" t="s">
        <v>6</v>
      </c>
      <c r="L5" s="2"/>
      <c r="M5" s="82" t="s">
        <v>24</v>
      </c>
      <c r="N5" s="83" t="s">
        <v>25</v>
      </c>
      <c r="O5" s="84" t="s">
        <v>26</v>
      </c>
      <c r="P5" s="34" t="s">
        <v>4</v>
      </c>
      <c r="Q5" s="16" t="s">
        <v>1</v>
      </c>
      <c r="R5" s="17" t="s">
        <v>2</v>
      </c>
      <c r="S5" s="17" t="s">
        <v>3</v>
      </c>
      <c r="T5" s="17" t="s">
        <v>5</v>
      </c>
      <c r="U5" s="18" t="s">
        <v>6</v>
      </c>
      <c r="V5" s="44" t="s">
        <v>22</v>
      </c>
      <c r="W5" s="48" t="s">
        <v>14</v>
      </c>
      <c r="X5" s="49" t="s">
        <v>15</v>
      </c>
      <c r="Y5" s="48" t="s">
        <v>14</v>
      </c>
      <c r="Z5" s="49" t="s">
        <v>15</v>
      </c>
    </row>
    <row r="6" spans="1:28" x14ac:dyDescent="0.3">
      <c r="A6" s="62">
        <v>0</v>
      </c>
      <c r="B6" s="62">
        <v>0</v>
      </c>
      <c r="C6" s="62">
        <v>200</v>
      </c>
      <c r="D6" s="50" t="s">
        <v>21</v>
      </c>
      <c r="E6" s="60">
        <v>1</v>
      </c>
      <c r="F6" s="8"/>
      <c r="G6" s="8">
        <v>2.92</v>
      </c>
      <c r="H6" s="8">
        <v>1.06</v>
      </c>
      <c r="I6" s="8">
        <v>15.89</v>
      </c>
      <c r="J6" s="8">
        <f t="shared" ref="J6:J23" si="0">G6/(G6+H6+I6)</f>
        <v>0.14695520885757421</v>
      </c>
      <c r="K6" s="8">
        <f t="shared" ref="K6:K23" si="1">H6/(G6+H6+I6)</f>
        <v>5.3346753900352289E-2</v>
      </c>
      <c r="M6" s="5">
        <v>1423.200263935998</v>
      </c>
      <c r="N6" s="6">
        <v>3580.209115831889</v>
      </c>
      <c r="O6" s="7">
        <v>10317.499401223926</v>
      </c>
      <c r="P6" s="34">
        <f>J35</f>
        <v>0</v>
      </c>
      <c r="Q6" s="5">
        <f t="array" ref="Q6:S23">MMULT(M6:O23,Q41:S43)</f>
        <v>4668.5018128367628</v>
      </c>
      <c r="R6" s="6">
        <v>1834.4759801927867</v>
      </c>
      <c r="S6" s="6">
        <v>21953.241119654023</v>
      </c>
      <c r="T6" s="6">
        <f t="shared" ref="T6:T23" si="2">Q6/(Q6+R6+S6)</f>
        <v>0.16405910522272188</v>
      </c>
      <c r="U6" s="7">
        <f t="shared" ref="U6:U23" si="3">R6/(Q6+R6+S6)</f>
        <v>6.4466610473506006E-2</v>
      </c>
      <c r="V6" s="45">
        <v>0</v>
      </c>
      <c r="W6" s="86">
        <f t="shared" ref="W6:X21" si="4">J6-T6</f>
        <v>-1.7103896365147669E-2</v>
      </c>
      <c r="X6" s="87">
        <f t="shared" si="4"/>
        <v>-1.1119856573153716E-2</v>
      </c>
      <c r="Y6" s="86">
        <f>W6*$V6</f>
        <v>0</v>
      </c>
      <c r="Z6" s="88">
        <f>X6*$V6</f>
        <v>0</v>
      </c>
    </row>
    <row r="7" spans="1:28" x14ac:dyDescent="0.3">
      <c r="A7" s="62">
        <v>0</v>
      </c>
      <c r="B7" s="62">
        <v>200</v>
      </c>
      <c r="C7" s="62">
        <v>0</v>
      </c>
      <c r="D7" s="50" t="s">
        <v>21</v>
      </c>
      <c r="E7" s="60">
        <v>2</v>
      </c>
      <c r="F7" s="8"/>
      <c r="G7" s="8">
        <v>3.69</v>
      </c>
      <c r="H7" s="8">
        <v>12.76</v>
      </c>
      <c r="I7" s="8">
        <v>1.96</v>
      </c>
      <c r="J7" s="8">
        <f t="shared" si="0"/>
        <v>0.200434546442151</v>
      </c>
      <c r="K7" s="8">
        <f t="shared" si="1"/>
        <v>0.69310157523085281</v>
      </c>
      <c r="M7" s="5">
        <v>2699.4803687611466</v>
      </c>
      <c r="N7" s="6">
        <v>22229.976126379588</v>
      </c>
      <c r="O7" s="7">
        <v>7838.7779183871335</v>
      </c>
      <c r="P7" s="34">
        <f>J43</f>
        <v>0</v>
      </c>
      <c r="Q7" s="5">
        <v>8157.0338427848683</v>
      </c>
      <c r="R7" s="6">
        <v>19695.772033862286</v>
      </c>
      <c r="S7" s="6">
        <v>7203.7754030473643</v>
      </c>
      <c r="T7" s="6">
        <f t="shared" si="2"/>
        <v>0.23268195428712804</v>
      </c>
      <c r="U7" s="7">
        <f t="shared" si="3"/>
        <v>0.56182808804777762</v>
      </c>
      <c r="V7" s="45">
        <v>0</v>
      </c>
      <c r="W7" s="86">
        <f t="shared" si="4"/>
        <v>-3.2247407844977038E-2</v>
      </c>
      <c r="X7" s="87">
        <f t="shared" si="4"/>
        <v>0.13127348718307519</v>
      </c>
      <c r="Y7" s="86">
        <f t="shared" ref="Y7:Z23" si="5">W7*$V7</f>
        <v>0</v>
      </c>
      <c r="Z7" s="88">
        <f t="shared" si="5"/>
        <v>0</v>
      </c>
    </row>
    <row r="8" spans="1:28" x14ac:dyDescent="0.3">
      <c r="A8" s="62">
        <v>200</v>
      </c>
      <c r="B8" s="62">
        <v>0</v>
      </c>
      <c r="C8" s="62">
        <v>0</v>
      </c>
      <c r="D8" s="50" t="s">
        <v>21</v>
      </c>
      <c r="E8" s="60">
        <v>3</v>
      </c>
      <c r="F8" s="8"/>
      <c r="G8" s="8">
        <v>11.5</v>
      </c>
      <c r="H8" s="8">
        <v>5.22</v>
      </c>
      <c r="I8" s="8">
        <v>0.15</v>
      </c>
      <c r="J8" s="8">
        <f t="shared" si="0"/>
        <v>0.68168346176644945</v>
      </c>
      <c r="K8" s="8">
        <f t="shared" si="1"/>
        <v>0.3094250148192057</v>
      </c>
      <c r="M8" s="5">
        <v>30665.024772970835</v>
      </c>
      <c r="N8" s="6">
        <v>6264.0760699110715</v>
      </c>
      <c r="O8" s="7">
        <v>3454.780252052884</v>
      </c>
      <c r="P8" s="34">
        <f>J45</f>
        <v>0</v>
      </c>
      <c r="Q8" s="5">
        <v>23668.727245735488</v>
      </c>
      <c r="R8" s="6">
        <v>10204.117213388567</v>
      </c>
      <c r="S8" s="6">
        <v>3917.436154399823</v>
      </c>
      <c r="T8" s="6">
        <f t="shared" si="2"/>
        <v>0.62631784843813099</v>
      </c>
      <c r="U8" s="7">
        <f t="shared" si="3"/>
        <v>0.27001962006434144</v>
      </c>
      <c r="V8" s="45">
        <v>0</v>
      </c>
      <c r="W8" s="86">
        <f t="shared" si="4"/>
        <v>5.5365613328318464E-2</v>
      </c>
      <c r="X8" s="87">
        <f t="shared" si="4"/>
        <v>3.9405394754864265E-2</v>
      </c>
      <c r="Y8" s="86">
        <f t="shared" si="5"/>
        <v>0</v>
      </c>
      <c r="Z8" s="88">
        <f t="shared" si="5"/>
        <v>0</v>
      </c>
    </row>
    <row r="9" spans="1:28" x14ac:dyDescent="0.3">
      <c r="A9" s="62">
        <v>100</v>
      </c>
      <c r="B9" s="62">
        <v>50</v>
      </c>
      <c r="C9" s="62">
        <v>200</v>
      </c>
      <c r="D9" s="50" t="s">
        <v>21</v>
      </c>
      <c r="E9" s="60">
        <v>4</v>
      </c>
      <c r="F9" s="8"/>
      <c r="G9" s="8">
        <v>5.49</v>
      </c>
      <c r="H9" s="8">
        <v>2.69</v>
      </c>
      <c r="I9" s="8">
        <v>16.05</v>
      </c>
      <c r="J9" s="8">
        <f t="shared" si="0"/>
        <v>0.22657862154354108</v>
      </c>
      <c r="K9" s="8">
        <f t="shared" si="1"/>
        <v>0.11101939744118861</v>
      </c>
      <c r="M9" s="5">
        <v>7672.7608969128632</v>
      </c>
      <c r="N9" s="6">
        <v>5671.7237742947618</v>
      </c>
      <c r="O9" s="7">
        <v>11202.411687709369</v>
      </c>
      <c r="P9" s="34">
        <f>J53</f>
        <v>0</v>
      </c>
      <c r="Q9" s="5">
        <v>9690.4225494326092</v>
      </c>
      <c r="R9" s="6">
        <v>4637.6199353414995</v>
      </c>
      <c r="S9" s="6">
        <v>22773.935761009245</v>
      </c>
      <c r="T9" s="6">
        <f t="shared" si="2"/>
        <v>0.26118344647927039</v>
      </c>
      <c r="U9" s="7">
        <f t="shared" si="3"/>
        <v>0.12499656769295223</v>
      </c>
      <c r="V9" s="45">
        <v>0</v>
      </c>
      <c r="W9" s="86">
        <f t="shared" si="4"/>
        <v>-3.4604824935729306E-2</v>
      </c>
      <c r="X9" s="87">
        <f t="shared" si="4"/>
        <v>-1.3977170251763621E-2</v>
      </c>
      <c r="Y9" s="86">
        <f t="shared" si="5"/>
        <v>0</v>
      </c>
      <c r="Z9" s="88">
        <f t="shared" si="5"/>
        <v>0</v>
      </c>
    </row>
    <row r="10" spans="1:28" x14ac:dyDescent="0.3">
      <c r="A10" s="62">
        <v>50</v>
      </c>
      <c r="B10" s="62">
        <v>100</v>
      </c>
      <c r="C10" s="62">
        <v>200</v>
      </c>
      <c r="D10" s="50" t="s">
        <v>21</v>
      </c>
      <c r="E10" s="60">
        <v>5</v>
      </c>
      <c r="F10" s="8"/>
      <c r="G10" s="8">
        <v>4.2</v>
      </c>
      <c r="H10" s="8">
        <v>3.97</v>
      </c>
      <c r="I10" s="8">
        <v>16.27</v>
      </c>
      <c r="J10" s="8">
        <f t="shared" si="0"/>
        <v>0.17184942716857612</v>
      </c>
      <c r="K10" s="8">
        <f t="shared" si="1"/>
        <v>0.16243862520458269</v>
      </c>
      <c r="M10" s="5">
        <v>3128.4576122733238</v>
      </c>
      <c r="N10" s="6">
        <v>8299.3021310434233</v>
      </c>
      <c r="O10" s="7">
        <v>11893.063994739263</v>
      </c>
      <c r="P10" s="34">
        <f>J61</f>
        <v>0</v>
      </c>
      <c r="Q10" s="5">
        <v>7169.3478361218931</v>
      </c>
      <c r="R10" s="6">
        <v>6214.2506841786753</v>
      </c>
      <c r="S10" s="6">
        <v>23241.951510817205</v>
      </c>
      <c r="T10" s="6">
        <f t="shared" si="2"/>
        <v>0.19574717185218179</v>
      </c>
      <c r="U10" s="7">
        <f t="shared" si="3"/>
        <v>0.1696698255425223</v>
      </c>
      <c r="V10" s="45">
        <v>0</v>
      </c>
      <c r="W10" s="86">
        <f t="shared" si="4"/>
        <v>-2.3897744683605671E-2</v>
      </c>
      <c r="X10" s="87">
        <f t="shared" si="4"/>
        <v>-7.2312003379396139E-3</v>
      </c>
      <c r="Y10" s="86">
        <f t="shared" si="5"/>
        <v>0</v>
      </c>
      <c r="Z10" s="88">
        <f t="shared" si="5"/>
        <v>0</v>
      </c>
    </row>
    <row r="11" spans="1:28" x14ac:dyDescent="0.3">
      <c r="A11" s="62">
        <v>200</v>
      </c>
      <c r="B11" s="62">
        <v>50</v>
      </c>
      <c r="C11" s="62">
        <v>100</v>
      </c>
      <c r="D11" s="50" t="s">
        <v>21</v>
      </c>
      <c r="E11" s="60">
        <v>6</v>
      </c>
      <c r="F11" s="8"/>
      <c r="G11" s="8">
        <v>12.16</v>
      </c>
      <c r="H11" s="8">
        <v>5.92</v>
      </c>
      <c r="I11" s="8">
        <v>3.61</v>
      </c>
      <c r="J11" s="8">
        <f t="shared" si="0"/>
        <v>0.56062701705855245</v>
      </c>
      <c r="K11" s="8">
        <f t="shared" si="1"/>
        <v>0.27293683725218998</v>
      </c>
      <c r="M11" s="5">
        <v>30651.507281841339</v>
      </c>
      <c r="N11" s="6">
        <v>7750.204873575206</v>
      </c>
      <c r="O11" s="7">
        <v>5771.9100509715154</v>
      </c>
      <c r="P11" s="34">
        <f>J69</f>
        <v>0</v>
      </c>
      <c r="Q11" s="5">
        <v>24604.635414421962</v>
      </c>
      <c r="R11" s="6">
        <v>11192.617185084597</v>
      </c>
      <c r="S11" s="6">
        <v>8529.2322064471446</v>
      </c>
      <c r="T11" s="6">
        <f t="shared" si="2"/>
        <v>0.5550775235648101</v>
      </c>
      <c r="U11" s="7">
        <f t="shared" si="3"/>
        <v>0.25250405562457917</v>
      </c>
      <c r="V11" s="45">
        <v>0</v>
      </c>
      <c r="W11" s="86">
        <f t="shared" si="4"/>
        <v>5.5494934937423412E-3</v>
      </c>
      <c r="X11" s="87">
        <f t="shared" si="4"/>
        <v>2.0432781627610808E-2</v>
      </c>
      <c r="Y11" s="86">
        <f t="shared" si="5"/>
        <v>0</v>
      </c>
      <c r="Z11" s="88">
        <f t="shared" si="5"/>
        <v>0</v>
      </c>
    </row>
    <row r="12" spans="1:28" x14ac:dyDescent="0.3">
      <c r="A12" s="62">
        <v>50</v>
      </c>
      <c r="B12" s="62">
        <v>200</v>
      </c>
      <c r="C12" s="62">
        <v>100</v>
      </c>
      <c r="D12" s="50" t="s">
        <v>21</v>
      </c>
      <c r="E12" s="60">
        <v>7</v>
      </c>
      <c r="F12" s="8"/>
      <c r="G12" s="8">
        <v>4.78</v>
      </c>
      <c r="H12" s="8">
        <v>13.17</v>
      </c>
      <c r="I12" s="8">
        <v>5.23</v>
      </c>
      <c r="J12" s="8">
        <f t="shared" si="0"/>
        <v>0.20621225194132875</v>
      </c>
      <c r="K12" s="8">
        <f t="shared" si="1"/>
        <v>0.56816220880069024</v>
      </c>
      <c r="M12" s="5">
        <v>4131.9438231908534</v>
      </c>
      <c r="N12" s="6">
        <v>22929.247719968102</v>
      </c>
      <c r="O12" s="7">
        <v>9913.5037698542037</v>
      </c>
      <c r="P12" s="34">
        <f>J77</f>
        <v>0</v>
      </c>
      <c r="Q12" s="5">
        <v>9897.2512896769949</v>
      </c>
      <c r="R12" s="6">
        <v>20231.857264516038</v>
      </c>
      <c r="S12" s="6">
        <v>11590.80428095846</v>
      </c>
      <c r="T12" s="6">
        <f t="shared" si="2"/>
        <v>0.23723087171308696</v>
      </c>
      <c r="U12" s="7">
        <f t="shared" si="3"/>
        <v>0.48494485941182269</v>
      </c>
      <c r="V12" s="45">
        <v>0</v>
      </c>
      <c r="W12" s="89">
        <f t="shared" si="4"/>
        <v>-3.101861977175821E-2</v>
      </c>
      <c r="X12" s="90">
        <f t="shared" si="4"/>
        <v>8.3217349388867545E-2</v>
      </c>
      <c r="Y12" s="86">
        <f t="shared" si="5"/>
        <v>0</v>
      </c>
      <c r="Z12" s="88">
        <f t="shared" si="5"/>
        <v>0</v>
      </c>
    </row>
    <row r="13" spans="1:28" x14ac:dyDescent="0.3">
      <c r="A13" s="62">
        <v>100</v>
      </c>
      <c r="B13" s="62">
        <v>200</v>
      </c>
      <c r="C13" s="62">
        <v>50</v>
      </c>
      <c r="D13" s="50" t="s">
        <v>21</v>
      </c>
      <c r="E13" s="60">
        <v>8</v>
      </c>
      <c r="F13" s="8"/>
      <c r="G13" s="8">
        <v>6.19</v>
      </c>
      <c r="H13" s="8">
        <v>13.79</v>
      </c>
      <c r="I13" s="8">
        <v>2.62</v>
      </c>
      <c r="J13" s="8">
        <f t="shared" si="0"/>
        <v>0.27389380530973451</v>
      </c>
      <c r="K13" s="8">
        <f t="shared" si="1"/>
        <v>0.61017699115044244</v>
      </c>
      <c r="M13" s="5">
        <v>8893.9946898115159</v>
      </c>
      <c r="N13" s="6">
        <v>23337.048485252628</v>
      </c>
      <c r="O13" s="7">
        <v>8756.9959268241946</v>
      </c>
      <c r="P13" s="34">
        <f>J85</f>
        <v>0</v>
      </c>
      <c r="Q13" s="5">
        <v>12974.807577358988</v>
      </c>
      <c r="R13" s="6">
        <v>21574.234743168996</v>
      </c>
      <c r="S13" s="6">
        <v>8578.3103843333465</v>
      </c>
      <c r="T13" s="6">
        <f t="shared" si="2"/>
        <v>0.30084869029989092</v>
      </c>
      <c r="U13" s="7">
        <f t="shared" si="3"/>
        <v>0.50024481889279382</v>
      </c>
      <c r="V13" s="45">
        <v>0</v>
      </c>
      <c r="W13" s="86">
        <f t="shared" si="4"/>
        <v>-2.6954884990156414E-2</v>
      </c>
      <c r="X13" s="87">
        <f t="shared" si="4"/>
        <v>0.10993217225764862</v>
      </c>
      <c r="Y13" s="86">
        <f t="shared" si="5"/>
        <v>0</v>
      </c>
      <c r="Z13" s="88">
        <f t="shared" si="5"/>
        <v>0</v>
      </c>
    </row>
    <row r="14" spans="1:28" x14ac:dyDescent="0.3">
      <c r="A14" s="62">
        <v>200</v>
      </c>
      <c r="B14" s="62">
        <v>100</v>
      </c>
      <c r="C14" s="62">
        <v>50</v>
      </c>
      <c r="D14" s="50" t="s">
        <v>21</v>
      </c>
      <c r="E14" s="60">
        <v>9</v>
      </c>
      <c r="F14" s="8"/>
      <c r="G14" s="8">
        <v>12.24</v>
      </c>
      <c r="H14" s="8">
        <v>7.85</v>
      </c>
      <c r="I14" s="8">
        <v>1.23</v>
      </c>
      <c r="J14" s="8">
        <f t="shared" si="0"/>
        <v>0.57410881801125702</v>
      </c>
      <c r="K14" s="8">
        <f t="shared" si="1"/>
        <v>0.36819887429643527</v>
      </c>
      <c r="M14" s="5">
        <v>30768.13633962629</v>
      </c>
      <c r="N14" s="6">
        <v>10797.626466127256</v>
      </c>
      <c r="O14" s="7">
        <v>5315.6239511428694</v>
      </c>
      <c r="P14" s="34">
        <f>J93</f>
        <v>0</v>
      </c>
      <c r="Q14" s="5">
        <v>25095.049390549699</v>
      </c>
      <c r="R14" s="6">
        <v>14104.742047736996</v>
      </c>
      <c r="S14" s="6">
        <v>6004.2533468022912</v>
      </c>
      <c r="T14" s="6">
        <f t="shared" si="2"/>
        <v>0.5551505293355421</v>
      </c>
      <c r="U14" s="7">
        <f t="shared" si="3"/>
        <v>0.31202389332181152</v>
      </c>
      <c r="V14" s="45">
        <v>0</v>
      </c>
      <c r="W14" s="86">
        <f t="shared" si="4"/>
        <v>1.8958288675714918E-2</v>
      </c>
      <c r="X14" s="87">
        <f t="shared" si="4"/>
        <v>5.6174980974623756E-2</v>
      </c>
      <c r="Y14" s="86">
        <f t="shared" si="5"/>
        <v>0</v>
      </c>
      <c r="Z14" s="88">
        <f t="shared" si="5"/>
        <v>0</v>
      </c>
    </row>
    <row r="15" spans="1:28" x14ac:dyDescent="0.3">
      <c r="A15" s="62">
        <v>200</v>
      </c>
      <c r="B15" s="62">
        <v>200</v>
      </c>
      <c r="C15" s="62">
        <v>200</v>
      </c>
      <c r="D15" s="50" t="s">
        <v>21</v>
      </c>
      <c r="E15" s="60">
        <v>10</v>
      </c>
      <c r="F15" s="8"/>
      <c r="G15" s="8">
        <v>17.78</v>
      </c>
      <c r="H15" s="8">
        <v>18.760000000000002</v>
      </c>
      <c r="I15" s="8">
        <v>17.82</v>
      </c>
      <c r="J15" s="8">
        <f t="shared" si="0"/>
        <v>0.32707873436350254</v>
      </c>
      <c r="K15" s="8">
        <f t="shared" si="1"/>
        <v>0.34510669610007355</v>
      </c>
      <c r="M15" s="5">
        <v>32869.313261410272</v>
      </c>
      <c r="N15" s="6">
        <v>30666.714311010412</v>
      </c>
      <c r="O15" s="7">
        <v>20272.656643192648</v>
      </c>
      <c r="P15" s="34">
        <f>J101</f>
        <v>0</v>
      </c>
      <c r="Q15" s="5">
        <v>34502.984548810804</v>
      </c>
      <c r="R15" s="6">
        <v>30342.593564478004</v>
      </c>
      <c r="S15" s="6">
        <v>30738.828714390969</v>
      </c>
      <c r="T15" s="6">
        <f t="shared" si="2"/>
        <v>0.36096875728917815</v>
      </c>
      <c r="U15" s="7">
        <f t="shared" si="3"/>
        <v>0.3174429237101386</v>
      </c>
      <c r="V15" s="45">
        <v>0</v>
      </c>
      <c r="W15" s="86">
        <f t="shared" si="4"/>
        <v>-3.3890022925675611E-2</v>
      </c>
      <c r="X15" s="87">
        <f t="shared" si="4"/>
        <v>2.7663772389934949E-2</v>
      </c>
      <c r="Y15" s="86">
        <f t="shared" si="5"/>
        <v>0</v>
      </c>
      <c r="Z15" s="88">
        <f t="shared" si="5"/>
        <v>0</v>
      </c>
    </row>
    <row r="16" spans="1:28" x14ac:dyDescent="0.3">
      <c r="A16" s="62">
        <v>133</v>
      </c>
      <c r="B16" s="62">
        <v>148</v>
      </c>
      <c r="C16" s="62">
        <v>133</v>
      </c>
      <c r="D16" s="50" t="s">
        <v>21</v>
      </c>
      <c r="E16" s="60">
        <v>11</v>
      </c>
      <c r="F16" s="8"/>
      <c r="G16" s="8">
        <v>7.6</v>
      </c>
      <c r="H16" s="8">
        <v>8.99</v>
      </c>
      <c r="I16" s="8">
        <v>7.37</v>
      </c>
      <c r="J16" s="8">
        <f t="shared" si="0"/>
        <v>0.31719532554257091</v>
      </c>
      <c r="K16" s="8">
        <f t="shared" si="1"/>
        <v>0.37520868113522537</v>
      </c>
      <c r="M16" s="5">
        <v>13732.194991959293</v>
      </c>
      <c r="N16" s="6">
        <v>14925.57795465086</v>
      </c>
      <c r="O16" s="7">
        <v>9228.5186981721527</v>
      </c>
      <c r="P16" s="34">
        <f>J109</f>
        <v>0</v>
      </c>
      <c r="Q16" s="5">
        <v>15014.015049869433</v>
      </c>
      <c r="R16" s="6">
        <v>14505.240604612172</v>
      </c>
      <c r="S16" s="6">
        <v>13566.890722983957</v>
      </c>
      <c r="T16" s="6">
        <f t="shared" si="2"/>
        <v>0.34846502442654975</v>
      </c>
      <c r="U16" s="7">
        <f t="shared" si="3"/>
        <v>0.33665671739439995</v>
      </c>
      <c r="V16" s="45">
        <v>0</v>
      </c>
      <c r="W16" s="86">
        <f t="shared" si="4"/>
        <v>-3.1269698883978847E-2</v>
      </c>
      <c r="X16" s="87">
        <f t="shared" si="4"/>
        <v>3.8551963740825423E-2</v>
      </c>
      <c r="Y16" s="86">
        <f t="shared" si="5"/>
        <v>0</v>
      </c>
      <c r="Z16" s="88">
        <f t="shared" si="5"/>
        <v>0</v>
      </c>
    </row>
    <row r="17" spans="1:28" x14ac:dyDescent="0.3">
      <c r="A17" s="69">
        <v>0</v>
      </c>
      <c r="B17" s="69">
        <v>0</v>
      </c>
      <c r="C17" s="69">
        <v>255</v>
      </c>
      <c r="D17" s="70" t="s">
        <v>21</v>
      </c>
      <c r="E17" s="71">
        <v>12</v>
      </c>
      <c r="F17" s="69"/>
      <c r="G17">
        <v>58.376434916473428</v>
      </c>
      <c r="H17">
        <v>27.890712915656305</v>
      </c>
      <c r="I17">
        <v>0.73630303582326673</v>
      </c>
      <c r="J17" s="69">
        <f t="shared" si="0"/>
        <v>0.67096689078543092</v>
      </c>
      <c r="K17" s="69">
        <f t="shared" si="1"/>
        <v>0.32057019161213085</v>
      </c>
      <c r="L17" s="72"/>
      <c r="M17">
        <v>76.739727080920375</v>
      </c>
      <c r="N17">
        <v>17.683651654263318</v>
      </c>
      <c r="O17">
        <v>5.1264672630229287</v>
      </c>
      <c r="P17" s="73">
        <f>J117</f>
        <v>0</v>
      </c>
      <c r="Q17" s="74">
        <v>58.554832040026767</v>
      </c>
      <c r="R17" s="75">
        <v>27.974586851323185</v>
      </c>
      <c r="S17" s="75">
        <v>0.74018509015091283</v>
      </c>
      <c r="T17" s="75">
        <f t="shared" si="2"/>
        <v>0.67096479608683723</v>
      </c>
      <c r="U17" s="76">
        <f t="shared" si="3"/>
        <v>0.32055361288511347</v>
      </c>
      <c r="V17" s="73">
        <v>1</v>
      </c>
      <c r="W17" s="91">
        <f t="shared" si="4"/>
        <v>2.0946985936909357E-6</v>
      </c>
      <c r="X17" s="92">
        <f t="shared" si="4"/>
        <v>1.6578727017380057E-5</v>
      </c>
      <c r="Y17" s="91">
        <f t="shared" si="5"/>
        <v>2.0946985936909357E-6</v>
      </c>
      <c r="Z17" s="93">
        <f t="shared" si="5"/>
        <v>1.6578727017380057E-5</v>
      </c>
      <c r="AB17" s="97">
        <f>(H17-R17)/H17</f>
        <v>-3.0072352729211675E-3</v>
      </c>
    </row>
    <row r="18" spans="1:28" x14ac:dyDescent="0.3">
      <c r="A18" s="69">
        <v>255</v>
      </c>
      <c r="B18" s="69">
        <v>0</v>
      </c>
      <c r="C18" s="69">
        <v>0</v>
      </c>
      <c r="D18" s="70" t="s">
        <v>21</v>
      </c>
      <c r="E18" s="71">
        <v>13</v>
      </c>
      <c r="F18" s="69"/>
      <c r="G18">
        <v>16.081714851581282</v>
      </c>
      <c r="H18">
        <v>47.275898001768091</v>
      </c>
      <c r="I18">
        <v>3.5015792687339089</v>
      </c>
      <c r="J18" s="69">
        <f t="shared" si="0"/>
        <v>0.24053109738772277</v>
      </c>
      <c r="K18" s="69">
        <f t="shared" si="1"/>
        <v>0.70709645900960683</v>
      </c>
      <c r="L18" s="72"/>
      <c r="M18">
        <v>4.2798307874297574</v>
      </c>
      <c r="N18">
        <v>52.810759586323734</v>
      </c>
      <c r="O18">
        <v>12.678559234630434</v>
      </c>
      <c r="P18" s="73">
        <f>J125</f>
        <v>0</v>
      </c>
      <c r="Q18" s="74">
        <v>16.133632551578064</v>
      </c>
      <c r="R18" s="75">
        <v>47.427095437820199</v>
      </c>
      <c r="S18" s="75">
        <v>3.5137940798633416</v>
      </c>
      <c r="T18" s="75">
        <f t="shared" si="2"/>
        <v>0.24053294833645428</v>
      </c>
      <c r="U18" s="76">
        <f t="shared" si="3"/>
        <v>0.70708063173147417</v>
      </c>
      <c r="V18" s="73">
        <v>1</v>
      </c>
      <c r="W18" s="91">
        <f t="shared" si="4"/>
        <v>-1.8509487315077067E-6</v>
      </c>
      <c r="X18" s="92">
        <f t="shared" si="4"/>
        <v>1.5827278132651834E-5</v>
      </c>
      <c r="Y18" s="91">
        <f t="shared" si="5"/>
        <v>-1.8509487315077067E-6</v>
      </c>
      <c r="Z18" s="93">
        <f t="shared" si="5"/>
        <v>1.5827278132651834E-5</v>
      </c>
      <c r="AB18" s="97">
        <f t="shared" ref="AB18:AB23" si="6">(H18-R18)/H18</f>
        <v>-3.1981927883517583E-3</v>
      </c>
    </row>
    <row r="19" spans="1:28" ht="15" thickBot="1" x14ac:dyDescent="0.35">
      <c r="A19" s="69">
        <v>0</v>
      </c>
      <c r="B19" s="69">
        <v>255</v>
      </c>
      <c r="C19" s="69">
        <v>0</v>
      </c>
      <c r="D19" s="70" t="s">
        <v>21</v>
      </c>
      <c r="E19" s="71">
        <v>14</v>
      </c>
      <c r="F19" s="69"/>
      <c r="G19">
        <v>8.1840881950844526</v>
      </c>
      <c r="H19">
        <v>2.8557635595754123</v>
      </c>
      <c r="I19">
        <v>45.227009450847987</v>
      </c>
      <c r="J19" s="69">
        <f t="shared" si="0"/>
        <v>0.14545130152529867</v>
      </c>
      <c r="K19" s="69">
        <f t="shared" si="1"/>
        <v>5.0753916219799147E-2</v>
      </c>
      <c r="L19" s="72"/>
      <c r="M19">
        <v>1.1505816176740227</v>
      </c>
      <c r="N19">
        <v>6.6781044540451937</v>
      </c>
      <c r="O19">
        <v>21.14248484453794</v>
      </c>
      <c r="P19" s="73">
        <f>J133</f>
        <v>0</v>
      </c>
      <c r="Q19" s="74">
        <v>8.2091372101188362</v>
      </c>
      <c r="R19" s="75">
        <v>2.8634141788226577</v>
      </c>
      <c r="S19" s="75">
        <v>45.36202569411126</v>
      </c>
      <c r="T19" s="75">
        <f t="shared" si="2"/>
        <v>0.14546289942135548</v>
      </c>
      <c r="U19" s="76">
        <f t="shared" si="3"/>
        <v>5.073864865875885E-2</v>
      </c>
      <c r="V19" s="77">
        <v>1</v>
      </c>
      <c r="W19" s="91">
        <f t="shared" si="4"/>
        <v>-1.1597896056814161E-5</v>
      </c>
      <c r="X19" s="92">
        <f t="shared" si="4"/>
        <v>1.5267561040296918E-5</v>
      </c>
      <c r="Y19" s="91">
        <f t="shared" si="5"/>
        <v>-1.1597896056814161E-5</v>
      </c>
      <c r="Z19" s="93">
        <f t="shared" si="5"/>
        <v>1.5267561040296918E-5</v>
      </c>
      <c r="AB19" s="97">
        <f t="shared" si="6"/>
        <v>-2.6790100397467397E-3</v>
      </c>
    </row>
    <row r="20" spans="1:28" x14ac:dyDescent="0.3">
      <c r="A20" s="69">
        <v>255</v>
      </c>
      <c r="B20" s="69">
        <v>0</v>
      </c>
      <c r="C20" s="69">
        <v>255</v>
      </c>
      <c r="D20" s="70" t="s">
        <v>21</v>
      </c>
      <c r="E20" s="71">
        <v>15</v>
      </c>
      <c r="F20" s="69"/>
      <c r="G20">
        <v>74.45814976805471</v>
      </c>
      <c r="H20">
        <v>75.166610917424407</v>
      </c>
      <c r="I20">
        <v>4.237882304557175</v>
      </c>
      <c r="J20" s="69">
        <f t="shared" si="0"/>
        <v>0.48392610656555796</v>
      </c>
      <c r="K20" s="69">
        <f t="shared" si="1"/>
        <v>0.48853061052832675</v>
      </c>
      <c r="L20" s="72"/>
      <c r="M20">
        <v>81.019557868350134</v>
      </c>
      <c r="N20">
        <v>70.494411240587056</v>
      </c>
      <c r="O20">
        <v>17.805026497653365</v>
      </c>
      <c r="P20" s="73">
        <f>J141</f>
        <v>0</v>
      </c>
      <c r="Q20" s="74">
        <v>74.688464591604841</v>
      </c>
      <c r="R20" s="75">
        <v>75.40168228914338</v>
      </c>
      <c r="S20" s="75">
        <v>4.2539791700142615</v>
      </c>
      <c r="T20" s="75">
        <f t="shared" si="2"/>
        <v>0.48390869482807808</v>
      </c>
      <c r="U20" s="76">
        <f t="shared" si="3"/>
        <v>0.48852965265645676</v>
      </c>
      <c r="V20" s="73">
        <v>1</v>
      </c>
      <c r="W20" s="91">
        <f t="shared" si="4"/>
        <v>1.7411737479877676E-5</v>
      </c>
      <c r="X20" s="92">
        <f t="shared" si="4"/>
        <v>9.5787186998874674E-7</v>
      </c>
      <c r="Y20" s="91">
        <f t="shared" si="5"/>
        <v>1.7411737479877676E-5</v>
      </c>
      <c r="Z20" s="93">
        <f t="shared" si="5"/>
        <v>9.5787186998874674E-7</v>
      </c>
      <c r="AB20" s="97">
        <f t="shared" si="6"/>
        <v>-3.1273376416719807E-3</v>
      </c>
    </row>
    <row r="21" spans="1:28" ht="15" thickBot="1" x14ac:dyDescent="0.35">
      <c r="A21" s="69">
        <v>0</v>
      </c>
      <c r="B21" s="69">
        <v>255</v>
      </c>
      <c r="C21" s="69">
        <v>255</v>
      </c>
      <c r="D21" s="70" t="s">
        <v>21</v>
      </c>
      <c r="E21" s="71">
        <v>16</v>
      </c>
      <c r="F21" s="69"/>
      <c r="G21">
        <v>66.560523111557899</v>
      </c>
      <c r="H21">
        <v>30.746476475231717</v>
      </c>
      <c r="I21">
        <v>45.963312486671256</v>
      </c>
      <c r="J21" s="69">
        <f t="shared" si="0"/>
        <v>0.46458001066843108</v>
      </c>
      <c r="K21" s="69">
        <f t="shared" si="1"/>
        <v>0.2146046590550223</v>
      </c>
      <c r="L21" s="72"/>
      <c r="M21">
        <v>77.89030869859441</v>
      </c>
      <c r="N21">
        <v>24.361756108308512</v>
      </c>
      <c r="O21">
        <v>26.268952107560867</v>
      </c>
      <c r="P21" s="73">
        <f>J149</f>
        <v>0</v>
      </c>
      <c r="Q21" s="74">
        <v>66.763969250145621</v>
      </c>
      <c r="R21" s="75">
        <v>30.83800103014584</v>
      </c>
      <c r="S21" s="75">
        <v>46.102210784262169</v>
      </c>
      <c r="T21" s="75">
        <f t="shared" si="2"/>
        <v>0.46459308807552691</v>
      </c>
      <c r="U21" s="76">
        <f t="shared" si="3"/>
        <v>0.21459362421955591</v>
      </c>
      <c r="V21" s="77">
        <v>1</v>
      </c>
      <c r="W21" s="91">
        <f t="shared" si="4"/>
        <v>-1.3077407095829496E-5</v>
      </c>
      <c r="X21" s="92">
        <f t="shared" si="4"/>
        <v>1.1034835466383619E-5</v>
      </c>
      <c r="Y21" s="91">
        <f t="shared" si="5"/>
        <v>-1.3077407095829496E-5</v>
      </c>
      <c r="Z21" s="93">
        <f t="shared" si="5"/>
        <v>1.1034835466383619E-5</v>
      </c>
      <c r="AB21" s="97">
        <f t="shared" si="6"/>
        <v>-2.9767493842051212E-3</v>
      </c>
    </row>
    <row r="22" spans="1:28" x14ac:dyDescent="0.3">
      <c r="A22" s="69">
        <v>255</v>
      </c>
      <c r="B22" s="69">
        <v>255</v>
      </c>
      <c r="C22" s="69">
        <v>0</v>
      </c>
      <c r="D22" s="70" t="s">
        <v>21</v>
      </c>
      <c r="E22" s="71">
        <v>17</v>
      </c>
      <c r="F22" s="78"/>
      <c r="G22">
        <v>24.265803046665731</v>
      </c>
      <c r="H22">
        <v>50.131661561343506</v>
      </c>
      <c r="I22">
        <v>48.728588719581893</v>
      </c>
      <c r="J22" s="69">
        <f t="shared" si="0"/>
        <v>0.19708097832149099</v>
      </c>
      <c r="K22" s="69">
        <f t="shared" si="1"/>
        <v>0.40715721982871012</v>
      </c>
      <c r="L22" s="72"/>
      <c r="M22">
        <v>5.4304124051037803</v>
      </c>
      <c r="N22">
        <v>59.488864040368931</v>
      </c>
      <c r="O22">
        <v>33.821044079168374</v>
      </c>
      <c r="P22" s="73">
        <f>J157</f>
        <v>0</v>
      </c>
      <c r="Q22" s="74">
        <v>24.342769761696903</v>
      </c>
      <c r="R22" s="75">
        <v>50.290509616642858</v>
      </c>
      <c r="S22" s="75">
        <v>48.875819773974598</v>
      </c>
      <c r="T22" s="75">
        <f t="shared" si="2"/>
        <v>0.19709292617928351</v>
      </c>
      <c r="U22" s="76">
        <f t="shared" si="3"/>
        <v>0.40718060419680824</v>
      </c>
      <c r="V22" s="73">
        <v>1</v>
      </c>
      <c r="W22" s="91">
        <f t="shared" ref="W22:X23" si="7">J22-T22</f>
        <v>-1.1947857792515837E-5</v>
      </c>
      <c r="X22" s="92">
        <f t="shared" si="7"/>
        <v>-2.3384368098122721E-5</v>
      </c>
      <c r="Y22" s="91">
        <f t="shared" si="5"/>
        <v>-1.1947857792515837E-5</v>
      </c>
      <c r="Z22" s="93">
        <f t="shared" si="5"/>
        <v>-2.3384368098122721E-5</v>
      </c>
      <c r="AB22" s="97">
        <f t="shared" si="6"/>
        <v>-3.1686174036936227E-3</v>
      </c>
    </row>
    <row r="23" spans="1:28" ht="15" thickBot="1" x14ac:dyDescent="0.35">
      <c r="A23" s="69">
        <v>255</v>
      </c>
      <c r="B23" s="69">
        <v>255</v>
      </c>
      <c r="C23" s="69">
        <v>255</v>
      </c>
      <c r="D23" s="70" t="s">
        <v>21</v>
      </c>
      <c r="E23" s="71">
        <v>18</v>
      </c>
      <c r="F23" s="78"/>
      <c r="G23">
        <v>82.642237963139166</v>
      </c>
      <c r="H23">
        <v>78.022374476999815</v>
      </c>
      <c r="I23">
        <v>49.464891755405162</v>
      </c>
      <c r="J23" s="69">
        <f t="shared" si="0"/>
        <v>0.39329192861100187</v>
      </c>
      <c r="K23" s="69">
        <f t="shared" si="1"/>
        <v>0.37130613702106807</v>
      </c>
      <c r="L23" s="72"/>
      <c r="M23">
        <v>82.170139486024169</v>
      </c>
      <c r="N23">
        <v>77.172515694632239</v>
      </c>
      <c r="O23">
        <v>38.947511342191305</v>
      </c>
      <c r="P23" s="77">
        <f>J165</f>
        <v>0</v>
      </c>
      <c r="Q23" s="79">
        <v>82.897601801723695</v>
      </c>
      <c r="R23" s="80">
        <v>78.265096467966018</v>
      </c>
      <c r="S23" s="80">
        <v>49.616004864125522</v>
      </c>
      <c r="T23" s="80">
        <f t="shared" si="2"/>
        <v>0.39329211428488209</v>
      </c>
      <c r="U23" s="81">
        <f t="shared" si="3"/>
        <v>0.37131406211508255</v>
      </c>
      <c r="V23" s="77">
        <v>1</v>
      </c>
      <c r="W23" s="94">
        <f t="shared" si="7"/>
        <v>-1.8567388021528686E-7</v>
      </c>
      <c r="X23" s="95">
        <f t="shared" si="7"/>
        <v>-7.9250940144826032E-6</v>
      </c>
      <c r="Y23" s="94">
        <f t="shared" si="5"/>
        <v>-1.8567388021528686E-7</v>
      </c>
      <c r="Z23" s="96">
        <f t="shared" si="5"/>
        <v>-7.9250940144826032E-6</v>
      </c>
      <c r="AB23" s="97">
        <f t="shared" si="6"/>
        <v>-3.1109280202405881E-3</v>
      </c>
    </row>
    <row r="24" spans="1:28" ht="15" thickBot="1" x14ac:dyDescent="0.35"/>
    <row r="25" spans="1:28" ht="16.2" thickBot="1" x14ac:dyDescent="0.35">
      <c r="D25" s="63"/>
      <c r="E25" s="54"/>
      <c r="F25" s="55"/>
      <c r="G25" s="55"/>
      <c r="H25" s="55"/>
      <c r="I25" s="55"/>
      <c r="J25" s="55"/>
      <c r="K25" s="55"/>
      <c r="L25" s="55"/>
      <c r="M25" s="55"/>
      <c r="N25" s="55"/>
      <c r="P25" s="4"/>
      <c r="Q25" s="101" t="s">
        <v>11</v>
      </c>
      <c r="R25" s="101"/>
      <c r="S25" s="102"/>
      <c r="W25" s="11" t="s">
        <v>17</v>
      </c>
      <c r="X25" s="12">
        <f>SQRT(SUMPRODUCT(Y18:Y23^2)+ SUMPRODUCT(Z6:Z12^2) + SUMPRODUCT(Y13:Y17^2) +SUMPRODUCT(Z18:Z23^2)+ SUMPRODUCT(Y6:Y12^2) +SUMPRODUCT(Z13:Z17^2))</f>
        <v>4.7434946683733399E-5</v>
      </c>
      <c r="Y25" s="47"/>
      <c r="Z25" s="47"/>
    </row>
    <row r="26" spans="1:28" ht="15" thickBot="1" x14ac:dyDescent="0.35">
      <c r="D26" s="64"/>
      <c r="E26" s="56"/>
      <c r="F26" s="55"/>
      <c r="G26" s="55"/>
      <c r="H26" s="55"/>
      <c r="I26" s="55"/>
      <c r="J26" s="55"/>
      <c r="K26" s="55"/>
      <c r="L26" s="55"/>
      <c r="M26" s="55"/>
      <c r="N26" s="55"/>
      <c r="P26" s="41"/>
      <c r="Q26" s="10" t="s">
        <v>1</v>
      </c>
      <c r="R26" s="10" t="s">
        <v>2</v>
      </c>
      <c r="S26" s="38" t="s">
        <v>3</v>
      </c>
    </row>
    <row r="27" spans="1:28" x14ac:dyDescent="0.3">
      <c r="D27" s="27"/>
      <c r="E27" s="56"/>
      <c r="F27" s="55"/>
      <c r="G27" s="55"/>
      <c r="H27" s="55"/>
      <c r="I27" s="55"/>
      <c r="J27" s="55"/>
      <c r="K27" s="55"/>
      <c r="L27" s="55"/>
      <c r="M27" s="55"/>
      <c r="N27" s="55"/>
      <c r="P27" s="42" t="s">
        <v>8</v>
      </c>
      <c r="Q27" s="27">
        <f t="array" ref="Q27">AVERAGE(G6:G23/M6:M23*V6:V23)</f>
        <v>1.0488371687645177</v>
      </c>
      <c r="R27" s="27">
        <v>0</v>
      </c>
      <c r="S27" s="28">
        <v>0</v>
      </c>
    </row>
    <row r="28" spans="1:28" x14ac:dyDescent="0.3">
      <c r="D28" s="27"/>
      <c r="E28" s="56"/>
      <c r="F28" s="56"/>
      <c r="G28" s="56"/>
      <c r="H28" s="56"/>
      <c r="I28" s="56"/>
      <c r="J28" s="56"/>
      <c r="K28" s="56"/>
      <c r="L28" s="56"/>
      <c r="M28" s="56"/>
      <c r="N28" s="56"/>
      <c r="P28" s="42" t="s">
        <v>9</v>
      </c>
      <c r="Q28" s="27">
        <v>0</v>
      </c>
      <c r="R28" s="27">
        <f t="array" ref="R28">AVERAGE(H6:H23/N6:N23*V6:V23)</f>
        <v>0.39345027164051799</v>
      </c>
      <c r="S28" s="28">
        <v>0</v>
      </c>
    </row>
    <row r="29" spans="1:28" ht="15" thickBot="1" x14ac:dyDescent="0.35">
      <c r="C29">
        <v>1329.0772818577</v>
      </c>
      <c r="D29" s="27">
        <v>7714.1998121902197</v>
      </c>
      <c r="E29" s="56">
        <v>28010.852295694702</v>
      </c>
      <c r="F29" s="56"/>
      <c r="G29" s="56"/>
      <c r="H29" s="56"/>
      <c r="I29" s="56"/>
      <c r="J29" s="56"/>
      <c r="K29" s="56"/>
      <c r="L29" s="56"/>
      <c r="M29" s="56"/>
      <c r="N29" s="56"/>
      <c r="P29" s="43" t="s">
        <v>10</v>
      </c>
      <c r="Q29" s="29">
        <v>0</v>
      </c>
      <c r="R29" s="29">
        <v>0</v>
      </c>
      <c r="S29" s="30">
        <f t="array" ref="S29">AVERAGE(I6:I23/O6:O23*V6:V23)</f>
        <v>0.40319528210313132</v>
      </c>
    </row>
    <row r="30" spans="1:28" x14ac:dyDescent="0.3">
      <c r="D30" s="27"/>
      <c r="E30" s="56"/>
      <c r="F30" s="56"/>
      <c r="G30" s="56"/>
      <c r="H30" s="56"/>
      <c r="I30" s="56"/>
      <c r="J30" s="56"/>
      <c r="K30" s="56"/>
      <c r="L30" s="56"/>
      <c r="M30" s="56"/>
      <c r="N30" s="56"/>
    </row>
    <row r="31" spans="1:28" ht="15" thickBot="1" x14ac:dyDescent="0.35">
      <c r="C31">
        <f>C29*Q41+D29*Q42+E29*Q43</f>
        <v>10537.01997076033</v>
      </c>
      <c r="D31" s="27"/>
      <c r="E31" s="56"/>
      <c r="F31" s="56"/>
      <c r="G31" s="56"/>
      <c r="H31" s="56"/>
      <c r="I31" s="56"/>
      <c r="J31" s="56"/>
      <c r="K31" s="56"/>
      <c r="L31" s="56"/>
      <c r="M31" s="56"/>
      <c r="N31" s="56"/>
    </row>
    <row r="32" spans="1:28" x14ac:dyDescent="0.3">
      <c r="D32" s="27"/>
      <c r="E32" s="56"/>
      <c r="F32" s="56"/>
      <c r="G32" s="56"/>
      <c r="H32" s="56"/>
      <c r="I32" s="56"/>
      <c r="J32" s="56"/>
      <c r="K32" s="56"/>
      <c r="L32" s="56"/>
      <c r="M32" s="56"/>
      <c r="N32" s="56"/>
      <c r="P32" s="4"/>
      <c r="Q32" s="101" t="s">
        <v>12</v>
      </c>
      <c r="R32" s="101"/>
      <c r="S32" s="102"/>
    </row>
    <row r="33" spans="4:23" ht="15" thickBot="1" x14ac:dyDescent="0.35">
      <c r="D33" s="27"/>
      <c r="E33" s="56"/>
      <c r="F33" s="56"/>
      <c r="G33" s="56"/>
      <c r="H33" s="56"/>
      <c r="I33" s="56"/>
      <c r="J33" s="56"/>
      <c r="K33" s="56"/>
      <c r="L33" s="56"/>
      <c r="M33" s="56"/>
      <c r="N33" s="56"/>
      <c r="P33" s="41"/>
      <c r="Q33" s="10" t="s">
        <v>1</v>
      </c>
      <c r="R33" s="10" t="s">
        <v>2</v>
      </c>
      <c r="S33" s="38" t="s">
        <v>3</v>
      </c>
      <c r="V33" s="51"/>
    </row>
    <row r="34" spans="4:23" x14ac:dyDescent="0.3">
      <c r="D34" s="65"/>
      <c r="E34" s="56"/>
      <c r="F34" s="56"/>
      <c r="G34" s="56"/>
      <c r="H34" s="56"/>
      <c r="I34" s="56"/>
      <c r="J34" s="56"/>
      <c r="K34" s="56"/>
      <c r="L34" s="56"/>
      <c r="M34" s="56"/>
      <c r="N34" s="56"/>
      <c r="P34" s="42" t="s">
        <v>8</v>
      </c>
      <c r="Q34" s="27">
        <v>0.66967186405102574</v>
      </c>
      <c r="R34" s="27">
        <v>0.15496012932787959</v>
      </c>
      <c r="S34" s="28">
        <v>-3.1179890841069459E-2</v>
      </c>
      <c r="V34" s="51"/>
    </row>
    <row r="35" spans="4:23" x14ac:dyDescent="0.3">
      <c r="D35" s="65"/>
      <c r="E35" s="56"/>
      <c r="F35" s="56"/>
      <c r="G35" s="56"/>
      <c r="H35" s="56"/>
      <c r="I35" s="56"/>
      <c r="J35" s="56"/>
      <c r="K35" s="56"/>
      <c r="L35" s="56"/>
      <c r="M35" s="56"/>
      <c r="N35" s="56"/>
      <c r="P35" s="42" t="s">
        <v>9</v>
      </c>
      <c r="Q35" s="27">
        <v>0.4525081053074142</v>
      </c>
      <c r="R35" s="27">
        <v>2.3500014922211521</v>
      </c>
      <c r="S35" s="28">
        <v>-1.2274871733968509</v>
      </c>
      <c r="V35" s="51"/>
    </row>
    <row r="36" spans="4:23" ht="15" thickBot="1" x14ac:dyDescent="0.35">
      <c r="D36" s="27"/>
      <c r="E36" s="56"/>
      <c r="F36" s="56"/>
      <c r="G36" s="56"/>
      <c r="H36" s="56"/>
      <c r="I36" s="56"/>
      <c r="J36" s="56"/>
      <c r="K36" s="56"/>
      <c r="L36" s="56"/>
      <c r="M36" s="56"/>
      <c r="N36" s="56"/>
      <c r="P36" s="43" t="s">
        <v>10</v>
      </c>
      <c r="Q36" s="29">
        <v>0.72872226479642022</v>
      </c>
      <c r="R36" s="29">
        <v>-0.41037017496037598</v>
      </c>
      <c r="S36" s="30">
        <v>5.7040989786768934</v>
      </c>
      <c r="V36" s="51"/>
    </row>
    <row r="37" spans="4:23" x14ac:dyDescent="0.3">
      <c r="D37" s="27"/>
      <c r="E37" s="56"/>
      <c r="F37" s="56"/>
      <c r="G37" s="56"/>
      <c r="H37" s="56"/>
      <c r="I37" s="56"/>
      <c r="J37" s="56"/>
      <c r="K37" s="56"/>
      <c r="L37" s="56"/>
      <c r="M37" s="56"/>
      <c r="N37" s="56"/>
      <c r="V37" s="51"/>
    </row>
    <row r="38" spans="4:23" ht="15" thickBot="1" x14ac:dyDescent="0.35">
      <c r="D38" s="27"/>
      <c r="E38" s="56"/>
      <c r="F38" s="56"/>
      <c r="G38" s="56"/>
      <c r="H38" s="56"/>
      <c r="I38" s="56"/>
      <c r="J38" s="56"/>
      <c r="K38" s="56"/>
      <c r="L38" s="56"/>
      <c r="M38" s="56"/>
      <c r="N38" s="56"/>
      <c r="V38" s="51"/>
    </row>
    <row r="39" spans="4:23" x14ac:dyDescent="0.3">
      <c r="D39" s="27"/>
      <c r="E39" s="56"/>
      <c r="F39" s="56"/>
      <c r="G39" s="56"/>
      <c r="H39" s="56"/>
      <c r="I39" s="56"/>
      <c r="J39" s="56"/>
      <c r="K39" s="56"/>
      <c r="L39" s="56"/>
      <c r="M39" s="56"/>
      <c r="N39" s="56"/>
      <c r="P39" s="4"/>
      <c r="Q39" s="101" t="s">
        <v>13</v>
      </c>
      <c r="R39" s="101"/>
      <c r="S39" s="102"/>
      <c r="V39" s="51"/>
    </row>
    <row r="40" spans="4:23" ht="15" thickBot="1" x14ac:dyDescent="0.35">
      <c r="D40" s="27"/>
      <c r="E40" s="56"/>
      <c r="F40" s="56"/>
      <c r="G40" s="56"/>
      <c r="H40" s="56"/>
      <c r="I40" s="56"/>
      <c r="J40" s="56"/>
      <c r="K40" s="56"/>
      <c r="L40" s="56"/>
      <c r="M40" s="56"/>
      <c r="N40" s="56"/>
      <c r="P40" s="41"/>
      <c r="Q40" s="10" t="s">
        <v>1</v>
      </c>
      <c r="R40" s="10" t="s">
        <v>2</v>
      </c>
      <c r="S40" s="38" t="s">
        <v>3</v>
      </c>
      <c r="V40" s="51"/>
    </row>
    <row r="41" spans="4:23" x14ac:dyDescent="0.3">
      <c r="D41" s="27"/>
      <c r="E41" s="56"/>
      <c r="F41" s="56"/>
      <c r="G41" s="56"/>
      <c r="H41" s="56"/>
      <c r="I41" s="56"/>
      <c r="J41" s="56"/>
      <c r="K41" s="56"/>
      <c r="L41" s="56"/>
      <c r="M41" s="56"/>
      <c r="N41" s="56"/>
      <c r="P41" s="42" t="s">
        <v>8</v>
      </c>
      <c r="Q41" s="27">
        <f t="array" ref="Q41:S43">MMULT(Q27:S29,Q34:S36)</f>
        <v>0.70237674189253485</v>
      </c>
      <c r="R41" s="27">
        <v>0.16252794331563672</v>
      </c>
      <c r="S41" s="28">
        <v>-3.2702628432134007E-2</v>
      </c>
      <c r="V41" s="51"/>
    </row>
    <row r="42" spans="4:23" x14ac:dyDescent="0.3">
      <c r="D42" s="65"/>
      <c r="E42" s="56"/>
      <c r="F42" s="56"/>
      <c r="G42" s="56"/>
      <c r="H42" s="56"/>
      <c r="I42" s="56"/>
      <c r="J42" s="56"/>
      <c r="K42" s="56"/>
      <c r="L42" s="56"/>
      <c r="M42" s="56"/>
      <c r="N42" s="56"/>
      <c r="P42" s="42" t="s">
        <v>9</v>
      </c>
      <c r="Q42" s="27">
        <v>0.17803943695273824</v>
      </c>
      <c r="R42" s="27">
        <v>0.92460872547003492</v>
      </c>
      <c r="S42" s="28">
        <v>-0.48295516180824261</v>
      </c>
      <c r="V42" s="51"/>
    </row>
    <row r="43" spans="4:23" ht="15" thickBot="1" x14ac:dyDescent="0.35">
      <c r="D43" s="65"/>
      <c r="E43" s="56"/>
      <c r="F43" s="56"/>
      <c r="G43" s="56"/>
      <c r="H43" s="56"/>
      <c r="I43" s="56"/>
      <c r="J43" s="56"/>
      <c r="K43" s="56"/>
      <c r="L43" s="56"/>
      <c r="M43" s="56"/>
      <c r="N43" s="56"/>
      <c r="P43" s="43" t="s">
        <v>10</v>
      </c>
      <c r="Q43" s="29">
        <v>0.2938173791294254</v>
      </c>
      <c r="R43" s="29">
        <v>-0.16545931845986014</v>
      </c>
      <c r="S43" s="30">
        <v>2.2998657968518135</v>
      </c>
      <c r="V43" s="51"/>
    </row>
    <row r="44" spans="4:23" x14ac:dyDescent="0.3">
      <c r="D44" s="27"/>
      <c r="E44" s="56"/>
      <c r="F44" s="56"/>
      <c r="G44" s="56"/>
      <c r="H44" s="56"/>
      <c r="I44" s="56"/>
      <c r="J44" s="56"/>
      <c r="K44" s="56"/>
      <c r="L44" s="56"/>
      <c r="M44" s="56"/>
      <c r="N44" s="56"/>
      <c r="V44" s="51"/>
    </row>
    <row r="45" spans="4:23" x14ac:dyDescent="0.3">
      <c r="D45" s="65"/>
      <c r="E45" s="56"/>
      <c r="F45" s="56"/>
      <c r="G45" s="56"/>
      <c r="H45" s="56"/>
      <c r="I45" s="56"/>
      <c r="J45" s="56"/>
      <c r="K45" s="56"/>
      <c r="L45" s="56"/>
      <c r="M45" s="56"/>
      <c r="N45" s="56"/>
    </row>
    <row r="46" spans="4:23" x14ac:dyDescent="0.3">
      <c r="D46" s="66"/>
      <c r="E46" s="56"/>
      <c r="F46" s="56"/>
      <c r="G46" s="56"/>
      <c r="H46" s="56"/>
      <c r="I46" s="56"/>
      <c r="J46" s="56"/>
      <c r="K46" s="56"/>
      <c r="L46" s="56"/>
      <c r="M46" s="56"/>
      <c r="N46" s="56"/>
    </row>
    <row r="47" spans="4:23" x14ac:dyDescent="0.3">
      <c r="D47" s="27"/>
      <c r="E47" s="56"/>
      <c r="F47" s="56"/>
      <c r="G47" s="56"/>
      <c r="H47" s="56"/>
      <c r="I47" s="56"/>
      <c r="J47" s="56"/>
      <c r="K47" s="56"/>
      <c r="L47" s="56"/>
      <c r="M47" s="56"/>
      <c r="N47" s="56"/>
    </row>
    <row r="48" spans="4:23" x14ac:dyDescent="0.3">
      <c r="D48" s="27"/>
      <c r="E48" s="56"/>
      <c r="F48" s="56"/>
      <c r="G48" s="56"/>
      <c r="H48" s="56"/>
      <c r="I48" s="56"/>
      <c r="J48" s="56"/>
      <c r="K48" s="56"/>
      <c r="L48" s="56"/>
      <c r="M48" s="56"/>
      <c r="N48" s="56"/>
      <c r="Q48" s="27">
        <v>0.29500963174053996</v>
      </c>
      <c r="R48" s="27">
        <v>6.8264374153250915E-2</v>
      </c>
      <c r="S48" s="28">
        <v>-1.373563473174866E-2</v>
      </c>
      <c r="T48">
        <v>2.27</v>
      </c>
      <c r="U48">
        <f>T48*Q48</f>
        <v>0.66967186405102574</v>
      </c>
      <c r="V48" s="50">
        <f>T48*R48</f>
        <v>0.15496012932787959</v>
      </c>
      <c r="W48">
        <f>T48*S48</f>
        <v>-3.1179890841069459E-2</v>
      </c>
    </row>
    <row r="49" spans="4:23" x14ac:dyDescent="0.3">
      <c r="D49" s="27"/>
      <c r="E49" s="56"/>
      <c r="F49" s="56"/>
      <c r="G49" s="56"/>
      <c r="H49" s="56"/>
      <c r="I49" s="56"/>
      <c r="J49" s="56"/>
      <c r="K49" s="56"/>
      <c r="L49" s="56"/>
      <c r="M49" s="56"/>
      <c r="N49" s="56"/>
      <c r="Q49" s="27">
        <v>0.19934277766846439</v>
      </c>
      <c r="R49" s="27">
        <v>1.0352429481150449</v>
      </c>
      <c r="S49" s="28">
        <v>-0.54074324819244535</v>
      </c>
      <c r="T49">
        <v>2.27</v>
      </c>
      <c r="U49">
        <f t="shared" ref="U49:U50" si="8">T49*Q49</f>
        <v>0.4525081053074142</v>
      </c>
      <c r="V49" s="51">
        <f t="shared" ref="V49:V50" si="9">T49*R49</f>
        <v>2.3500014922211521</v>
      </c>
      <c r="W49">
        <f t="shared" ref="W49:W50" si="10">T49*S49</f>
        <v>-1.2274871733968509</v>
      </c>
    </row>
    <row r="50" spans="4:23" ht="15" thickBot="1" x14ac:dyDescent="0.35">
      <c r="D50" s="27"/>
      <c r="E50" s="56"/>
      <c r="F50" s="56"/>
      <c r="G50" s="56"/>
      <c r="H50" s="56"/>
      <c r="I50" s="56"/>
      <c r="J50" s="56"/>
      <c r="K50" s="56"/>
      <c r="L50" s="56"/>
      <c r="M50" s="56"/>
      <c r="N50" s="56"/>
      <c r="Q50" s="29">
        <v>0.32102302413939215</v>
      </c>
      <c r="R50" s="29">
        <v>-0.18077981275787489</v>
      </c>
      <c r="S50" s="30">
        <v>2.5128189333378383</v>
      </c>
      <c r="T50">
        <v>2.27</v>
      </c>
      <c r="U50">
        <f t="shared" si="8"/>
        <v>0.72872226479642022</v>
      </c>
      <c r="V50" s="51">
        <f t="shared" si="9"/>
        <v>-0.41037017496037598</v>
      </c>
      <c r="W50">
        <f t="shared" si="10"/>
        <v>5.7040989786768934</v>
      </c>
    </row>
    <row r="51" spans="4:23" x14ac:dyDescent="0.3">
      <c r="D51" s="27"/>
      <c r="E51" s="56"/>
      <c r="F51" s="56"/>
      <c r="G51" s="56"/>
      <c r="H51" s="56"/>
      <c r="I51" s="56"/>
      <c r="J51" s="56"/>
      <c r="K51" s="56"/>
      <c r="L51" s="56"/>
      <c r="M51" s="56"/>
      <c r="N51" s="56"/>
    </row>
    <row r="52" spans="4:23" x14ac:dyDescent="0.3">
      <c r="D52" s="65"/>
      <c r="E52" s="56"/>
      <c r="F52" s="56"/>
      <c r="G52" s="56"/>
      <c r="H52" s="56"/>
      <c r="I52" s="56"/>
      <c r="J52" s="56"/>
      <c r="K52" s="56"/>
      <c r="L52" s="56"/>
      <c r="M52" s="56"/>
      <c r="N52" s="56"/>
    </row>
    <row r="53" spans="4:23" x14ac:dyDescent="0.3">
      <c r="D53" s="65"/>
      <c r="E53" s="56"/>
      <c r="F53" s="56"/>
      <c r="G53" s="56"/>
      <c r="H53" s="56"/>
      <c r="I53" s="56"/>
      <c r="J53" s="56"/>
      <c r="K53" s="56"/>
      <c r="L53" s="56"/>
      <c r="M53" s="56"/>
      <c r="N53" s="56"/>
    </row>
    <row r="54" spans="4:23" x14ac:dyDescent="0.3">
      <c r="D54" s="27"/>
      <c r="E54" s="56"/>
      <c r="F54" s="56"/>
      <c r="G54" s="56"/>
      <c r="H54" s="56"/>
      <c r="I54" s="56"/>
      <c r="J54" s="56"/>
      <c r="K54" s="56"/>
      <c r="L54" s="56"/>
      <c r="M54" s="56"/>
      <c r="N54" s="56"/>
    </row>
    <row r="55" spans="4:23" x14ac:dyDescent="0.3">
      <c r="D55" s="27"/>
      <c r="E55" s="56"/>
      <c r="F55" s="56"/>
      <c r="G55" s="56"/>
      <c r="H55" s="56"/>
      <c r="I55" s="56"/>
      <c r="J55" s="56"/>
      <c r="K55" s="56"/>
      <c r="L55" s="56"/>
      <c r="M55" s="56"/>
      <c r="N55" s="56"/>
    </row>
    <row r="56" spans="4:23" x14ac:dyDescent="0.3">
      <c r="D56" s="27"/>
      <c r="E56" s="56"/>
      <c r="F56" s="56"/>
      <c r="G56" s="56"/>
      <c r="H56" s="56"/>
      <c r="I56" s="56"/>
      <c r="J56" s="56"/>
      <c r="K56" s="56"/>
      <c r="L56" s="56"/>
      <c r="M56" s="56"/>
      <c r="N56" s="56"/>
    </row>
    <row r="57" spans="4:23" x14ac:dyDescent="0.3">
      <c r="D57" s="27"/>
      <c r="E57" s="56"/>
      <c r="F57" s="56"/>
      <c r="G57" s="56"/>
      <c r="H57" s="56"/>
      <c r="I57" s="56"/>
      <c r="J57" s="56"/>
      <c r="K57" s="56"/>
      <c r="L57" s="56"/>
      <c r="M57" s="56"/>
      <c r="N57" s="56"/>
    </row>
    <row r="58" spans="4:23" x14ac:dyDescent="0.3">
      <c r="D58" s="27"/>
      <c r="E58" s="56"/>
      <c r="F58" s="56"/>
      <c r="G58" s="56"/>
      <c r="H58" s="56"/>
      <c r="I58" s="56"/>
      <c r="J58" s="56"/>
      <c r="K58" s="56"/>
      <c r="L58" s="56"/>
      <c r="M58" s="56"/>
      <c r="N58" s="56"/>
    </row>
    <row r="59" spans="4:23" x14ac:dyDescent="0.3">
      <c r="D59" s="27"/>
      <c r="E59" s="56"/>
      <c r="F59" s="56"/>
      <c r="G59" s="56"/>
      <c r="H59" s="56"/>
      <c r="I59" s="56"/>
      <c r="J59" s="56"/>
      <c r="K59" s="56"/>
      <c r="L59" s="56"/>
      <c r="M59" s="56"/>
      <c r="N59" s="56"/>
    </row>
    <row r="60" spans="4:23" x14ac:dyDescent="0.3">
      <c r="D60" s="65"/>
      <c r="E60" s="56"/>
      <c r="F60" s="56"/>
      <c r="G60" s="56"/>
      <c r="H60" s="56"/>
      <c r="I60" s="56"/>
      <c r="J60" s="56"/>
      <c r="K60" s="56"/>
      <c r="L60" s="56"/>
      <c r="M60" s="56"/>
      <c r="N60" s="56"/>
    </row>
    <row r="61" spans="4:23" x14ac:dyDescent="0.3">
      <c r="D61" s="65"/>
      <c r="E61" s="56"/>
      <c r="F61" s="56"/>
      <c r="G61" s="56"/>
      <c r="H61" s="56"/>
      <c r="I61" s="56"/>
      <c r="J61" s="56"/>
      <c r="K61" s="56"/>
      <c r="L61" s="56"/>
      <c r="M61" s="56"/>
      <c r="N61" s="56"/>
    </row>
    <row r="62" spans="4:23" x14ac:dyDescent="0.3">
      <c r="D62" s="27"/>
      <c r="E62" s="56"/>
      <c r="F62" s="56"/>
      <c r="G62" s="56"/>
      <c r="H62" s="56"/>
      <c r="I62" s="56"/>
      <c r="J62" s="56"/>
      <c r="K62" s="56"/>
      <c r="L62" s="56"/>
      <c r="M62" s="56"/>
      <c r="N62" s="56"/>
    </row>
    <row r="63" spans="4:23" x14ac:dyDescent="0.3">
      <c r="D63" s="27"/>
      <c r="E63" s="56"/>
      <c r="F63" s="56"/>
      <c r="G63" s="56"/>
      <c r="H63" s="56"/>
      <c r="I63" s="56"/>
      <c r="J63" s="56"/>
      <c r="K63" s="56"/>
      <c r="L63" s="56"/>
      <c r="M63" s="56"/>
      <c r="N63" s="56"/>
    </row>
    <row r="64" spans="4:23" x14ac:dyDescent="0.3">
      <c r="D64" s="27"/>
      <c r="E64" s="56"/>
      <c r="F64" s="56"/>
      <c r="G64" s="56"/>
      <c r="H64" s="56"/>
      <c r="I64" s="56"/>
      <c r="J64" s="56"/>
      <c r="K64" s="56"/>
      <c r="L64" s="56"/>
      <c r="M64" s="56"/>
      <c r="N64" s="56"/>
    </row>
    <row r="65" spans="4:14" x14ac:dyDescent="0.3">
      <c r="D65" s="27"/>
      <c r="E65" s="56"/>
      <c r="F65" s="56"/>
      <c r="G65" s="56"/>
      <c r="H65" s="56"/>
      <c r="I65" s="56"/>
      <c r="J65" s="56"/>
      <c r="K65" s="56"/>
      <c r="L65" s="56"/>
      <c r="M65" s="56"/>
      <c r="N65" s="56"/>
    </row>
    <row r="66" spans="4:14" x14ac:dyDescent="0.3">
      <c r="D66" s="27"/>
      <c r="E66" s="56"/>
      <c r="F66" s="56"/>
      <c r="G66" s="56"/>
      <c r="H66" s="56"/>
      <c r="I66" s="56"/>
      <c r="J66" s="56"/>
      <c r="K66" s="56"/>
      <c r="L66" s="56"/>
      <c r="M66" s="56"/>
      <c r="N66" s="56"/>
    </row>
    <row r="67" spans="4:14" x14ac:dyDescent="0.3">
      <c r="D67" s="27"/>
      <c r="E67" s="56"/>
      <c r="F67" s="56"/>
      <c r="G67" s="56"/>
      <c r="H67" s="56"/>
      <c r="I67" s="56"/>
      <c r="J67" s="56"/>
      <c r="K67" s="56"/>
      <c r="L67" s="56"/>
      <c r="M67" s="56"/>
      <c r="N67" s="56"/>
    </row>
    <row r="68" spans="4:14" x14ac:dyDescent="0.3">
      <c r="D68" s="65"/>
      <c r="E68" s="56"/>
      <c r="F68" s="56"/>
      <c r="G68" s="56"/>
      <c r="H68" s="56"/>
      <c r="I68" s="56"/>
      <c r="J68" s="56"/>
      <c r="K68" s="56"/>
      <c r="L68" s="56"/>
      <c r="M68" s="56"/>
      <c r="N68" s="56"/>
    </row>
    <row r="69" spans="4:14" x14ac:dyDescent="0.3">
      <c r="D69" s="65"/>
      <c r="E69" s="56"/>
      <c r="F69" s="56"/>
      <c r="G69" s="56"/>
      <c r="H69" s="56"/>
      <c r="I69" s="56"/>
      <c r="J69" s="56"/>
      <c r="K69" s="56"/>
      <c r="L69" s="56"/>
      <c r="M69" s="56"/>
      <c r="N69" s="56"/>
    </row>
    <row r="70" spans="4:14" x14ac:dyDescent="0.3">
      <c r="D70" s="27"/>
      <c r="E70" s="56"/>
      <c r="F70" s="56"/>
      <c r="G70" s="56"/>
      <c r="H70" s="56"/>
      <c r="I70" s="56"/>
      <c r="J70" s="56"/>
      <c r="K70" s="56"/>
      <c r="L70" s="56"/>
      <c r="M70" s="56"/>
      <c r="N70" s="56"/>
    </row>
    <row r="71" spans="4:14" x14ac:dyDescent="0.3">
      <c r="D71" s="27"/>
      <c r="E71" s="56"/>
      <c r="F71" s="56"/>
      <c r="G71" s="56"/>
      <c r="H71" s="56"/>
      <c r="I71" s="56"/>
      <c r="J71" s="56"/>
      <c r="K71" s="56"/>
      <c r="L71" s="56"/>
      <c r="M71" s="56"/>
      <c r="N71" s="56"/>
    </row>
    <row r="72" spans="4:14" x14ac:dyDescent="0.3">
      <c r="D72" s="27"/>
      <c r="E72" s="56"/>
      <c r="F72" s="56"/>
      <c r="G72" s="56"/>
      <c r="H72" s="56"/>
      <c r="I72" s="56"/>
      <c r="J72" s="56"/>
      <c r="K72" s="56"/>
      <c r="L72" s="56"/>
      <c r="M72" s="56"/>
      <c r="N72" s="56"/>
    </row>
    <row r="73" spans="4:14" x14ac:dyDescent="0.3">
      <c r="D73" s="27"/>
      <c r="E73" s="56"/>
      <c r="F73" s="56"/>
      <c r="G73" s="56"/>
      <c r="H73" s="56"/>
      <c r="I73" s="56"/>
      <c r="J73" s="56"/>
      <c r="K73" s="56"/>
      <c r="L73" s="56"/>
      <c r="M73" s="56"/>
      <c r="N73" s="56"/>
    </row>
    <row r="74" spans="4:14" x14ac:dyDescent="0.3">
      <c r="D74" s="27"/>
      <c r="E74" s="56"/>
      <c r="F74" s="56"/>
      <c r="G74" s="56"/>
      <c r="H74" s="56"/>
      <c r="I74" s="56"/>
      <c r="J74" s="56"/>
      <c r="K74" s="56"/>
      <c r="L74" s="56"/>
      <c r="M74" s="56"/>
      <c r="N74" s="56"/>
    </row>
    <row r="75" spans="4:14" x14ac:dyDescent="0.3">
      <c r="D75" s="27"/>
      <c r="E75" s="56"/>
      <c r="F75" s="56"/>
      <c r="G75" s="56"/>
      <c r="H75" s="56"/>
      <c r="I75" s="56"/>
      <c r="J75" s="56"/>
      <c r="K75" s="56"/>
      <c r="L75" s="56"/>
      <c r="M75" s="56"/>
      <c r="N75" s="56"/>
    </row>
    <row r="76" spans="4:14" x14ac:dyDescent="0.3">
      <c r="D76" s="65"/>
      <c r="E76" s="56"/>
      <c r="F76" s="56"/>
      <c r="G76" s="56"/>
      <c r="H76" s="56"/>
      <c r="I76" s="56"/>
      <c r="J76" s="56"/>
      <c r="K76" s="56"/>
      <c r="L76" s="56"/>
      <c r="M76" s="56"/>
      <c r="N76" s="56"/>
    </row>
    <row r="77" spans="4:14" x14ac:dyDescent="0.3">
      <c r="D77" s="65"/>
      <c r="E77" s="56"/>
      <c r="F77" s="56"/>
      <c r="G77" s="56"/>
      <c r="H77" s="56"/>
      <c r="I77" s="56"/>
      <c r="J77" s="56"/>
      <c r="K77" s="56"/>
      <c r="L77" s="56"/>
      <c r="M77" s="56"/>
      <c r="N77" s="56"/>
    </row>
    <row r="78" spans="4:14" x14ac:dyDescent="0.3">
      <c r="D78" s="27"/>
      <c r="E78" s="56"/>
      <c r="F78" s="56"/>
      <c r="G78" s="56"/>
      <c r="H78" s="56"/>
      <c r="I78" s="56"/>
      <c r="J78" s="56"/>
      <c r="K78" s="56"/>
      <c r="L78" s="56"/>
      <c r="M78" s="56"/>
      <c r="N78" s="56"/>
    </row>
    <row r="79" spans="4:14" x14ac:dyDescent="0.3">
      <c r="D79" s="27"/>
      <c r="E79" s="56"/>
      <c r="F79" s="56"/>
      <c r="G79" s="56"/>
      <c r="H79" s="56"/>
      <c r="I79" s="56"/>
      <c r="J79" s="56"/>
      <c r="K79" s="56"/>
      <c r="L79" s="56"/>
      <c r="M79" s="56"/>
      <c r="N79" s="56"/>
    </row>
    <row r="80" spans="4:14" x14ac:dyDescent="0.3">
      <c r="D80" s="27"/>
      <c r="E80" s="56"/>
      <c r="F80" s="56"/>
      <c r="G80" s="56"/>
      <c r="H80" s="56"/>
      <c r="I80" s="56"/>
      <c r="J80" s="56"/>
      <c r="K80" s="56"/>
      <c r="L80" s="56"/>
      <c r="M80" s="56"/>
      <c r="N80" s="56"/>
    </row>
    <row r="81" spans="4:14" x14ac:dyDescent="0.3">
      <c r="D81" s="27"/>
      <c r="E81" s="56"/>
      <c r="F81" s="56"/>
      <c r="G81" s="56"/>
      <c r="H81" s="56"/>
      <c r="I81" s="56"/>
      <c r="J81" s="56"/>
      <c r="K81" s="56"/>
      <c r="L81" s="56"/>
      <c r="M81" s="56"/>
      <c r="N81" s="56"/>
    </row>
    <row r="82" spans="4:14" x14ac:dyDescent="0.3">
      <c r="D82" s="27"/>
      <c r="E82" s="56"/>
      <c r="F82" s="56"/>
      <c r="G82" s="56"/>
      <c r="H82" s="56"/>
      <c r="I82" s="56"/>
      <c r="J82" s="56"/>
      <c r="K82" s="56"/>
      <c r="L82" s="56"/>
      <c r="M82" s="56"/>
      <c r="N82" s="56"/>
    </row>
    <row r="83" spans="4:14" x14ac:dyDescent="0.3">
      <c r="D83" s="27"/>
      <c r="E83" s="56"/>
      <c r="F83" s="56"/>
      <c r="G83" s="56"/>
      <c r="H83" s="56"/>
      <c r="I83" s="56"/>
      <c r="J83" s="56"/>
      <c r="K83" s="56"/>
      <c r="L83" s="56"/>
      <c r="M83" s="56"/>
      <c r="N83" s="56"/>
    </row>
    <row r="84" spans="4:14" x14ac:dyDescent="0.3">
      <c r="D84" s="65"/>
      <c r="E84" s="56"/>
      <c r="F84" s="56"/>
      <c r="G84" s="56"/>
      <c r="H84" s="56"/>
      <c r="I84" s="56"/>
      <c r="J84" s="56"/>
      <c r="K84" s="56"/>
      <c r="L84" s="56"/>
      <c r="M84" s="56"/>
      <c r="N84" s="56"/>
    </row>
    <row r="85" spans="4:14" x14ac:dyDescent="0.3">
      <c r="D85" s="65"/>
      <c r="E85" s="56"/>
      <c r="F85" s="56"/>
      <c r="G85" s="56"/>
      <c r="H85" s="56"/>
      <c r="I85" s="56"/>
      <c r="J85" s="56"/>
      <c r="K85" s="56"/>
      <c r="L85" s="56"/>
      <c r="M85" s="56"/>
      <c r="N85" s="56"/>
    </row>
    <row r="86" spans="4:14" x14ac:dyDescent="0.3">
      <c r="D86" s="27"/>
      <c r="E86" s="56"/>
      <c r="F86" s="56"/>
      <c r="G86" s="56"/>
      <c r="H86" s="56"/>
      <c r="I86" s="56"/>
      <c r="J86" s="56"/>
      <c r="K86" s="56"/>
      <c r="L86" s="56"/>
      <c r="M86" s="56"/>
      <c r="N86" s="56"/>
    </row>
    <row r="87" spans="4:14" x14ac:dyDescent="0.3">
      <c r="D87" s="27"/>
      <c r="E87" s="56"/>
      <c r="F87" s="56"/>
      <c r="G87" s="56"/>
      <c r="H87" s="56"/>
      <c r="I87" s="56"/>
      <c r="J87" s="56"/>
      <c r="K87" s="56"/>
      <c r="L87" s="56"/>
      <c r="M87" s="56"/>
      <c r="N87" s="56"/>
    </row>
    <row r="88" spans="4:14" x14ac:dyDescent="0.3">
      <c r="D88" s="27"/>
      <c r="E88" s="56"/>
      <c r="F88" s="56"/>
      <c r="G88" s="56"/>
      <c r="H88" s="56"/>
      <c r="I88" s="56"/>
      <c r="J88" s="56"/>
      <c r="K88" s="56"/>
      <c r="L88" s="56"/>
      <c r="M88" s="56"/>
      <c r="N88" s="56"/>
    </row>
    <row r="89" spans="4:14" x14ac:dyDescent="0.3">
      <c r="D89" s="27"/>
      <c r="E89" s="56"/>
      <c r="F89" s="56"/>
      <c r="G89" s="56"/>
      <c r="H89" s="56"/>
      <c r="I89" s="56"/>
      <c r="J89" s="56"/>
      <c r="K89" s="56"/>
      <c r="L89" s="56"/>
      <c r="M89" s="56"/>
      <c r="N89" s="56"/>
    </row>
    <row r="90" spans="4:14" x14ac:dyDescent="0.3">
      <c r="D90" s="27"/>
      <c r="E90" s="56"/>
      <c r="F90" s="56"/>
      <c r="G90" s="56"/>
      <c r="H90" s="56"/>
      <c r="I90" s="56"/>
      <c r="J90" s="56"/>
      <c r="K90" s="56"/>
      <c r="L90" s="56"/>
      <c r="M90" s="56"/>
      <c r="N90" s="56"/>
    </row>
    <row r="91" spans="4:14" x14ac:dyDescent="0.3">
      <c r="D91" s="27"/>
      <c r="E91" s="56"/>
      <c r="F91" s="56"/>
      <c r="G91" s="56"/>
      <c r="H91" s="56"/>
      <c r="I91" s="56"/>
      <c r="J91" s="56"/>
      <c r="K91" s="56"/>
      <c r="L91" s="56"/>
      <c r="M91" s="56"/>
      <c r="N91" s="56"/>
    </row>
    <row r="92" spans="4:14" x14ac:dyDescent="0.3">
      <c r="D92" s="65"/>
      <c r="E92" s="56"/>
      <c r="F92" s="56"/>
      <c r="G92" s="56"/>
      <c r="H92" s="56"/>
      <c r="I92" s="56"/>
      <c r="J92" s="56"/>
      <c r="K92" s="56"/>
      <c r="L92" s="56"/>
      <c r="M92" s="56"/>
      <c r="N92" s="56"/>
    </row>
    <row r="93" spans="4:14" x14ac:dyDescent="0.3">
      <c r="D93" s="65"/>
      <c r="E93" s="56"/>
      <c r="F93" s="56"/>
      <c r="G93" s="56"/>
      <c r="H93" s="56"/>
      <c r="I93" s="56"/>
      <c r="J93" s="56"/>
      <c r="K93" s="56"/>
      <c r="L93" s="56"/>
      <c r="M93" s="56"/>
      <c r="N93" s="56"/>
    </row>
    <row r="94" spans="4:14" x14ac:dyDescent="0.3">
      <c r="D94" s="27"/>
      <c r="E94" s="56"/>
      <c r="F94" s="56"/>
      <c r="G94" s="56"/>
      <c r="H94" s="56"/>
      <c r="I94" s="56"/>
      <c r="J94" s="56"/>
      <c r="K94" s="56"/>
      <c r="L94" s="56"/>
      <c r="M94" s="56"/>
      <c r="N94" s="56"/>
    </row>
    <row r="95" spans="4:14" x14ac:dyDescent="0.3">
      <c r="D95" s="27"/>
      <c r="E95" s="56"/>
      <c r="F95" s="56"/>
      <c r="G95" s="56"/>
      <c r="H95" s="56"/>
      <c r="I95" s="56"/>
      <c r="J95" s="56"/>
      <c r="K95" s="56"/>
      <c r="L95" s="56"/>
      <c r="M95" s="56"/>
      <c r="N95" s="56"/>
    </row>
    <row r="96" spans="4:14" x14ac:dyDescent="0.3">
      <c r="D96" s="27"/>
      <c r="E96" s="56"/>
      <c r="F96" s="56"/>
      <c r="G96" s="56"/>
      <c r="H96" s="56"/>
      <c r="I96" s="56"/>
      <c r="J96" s="56"/>
      <c r="K96" s="56"/>
      <c r="L96" s="56"/>
      <c r="M96" s="56"/>
      <c r="N96" s="56"/>
    </row>
    <row r="97" spans="4:22" x14ac:dyDescent="0.3">
      <c r="D97" s="27"/>
      <c r="E97" s="56"/>
      <c r="F97" s="56"/>
      <c r="G97" s="56"/>
      <c r="H97" s="56"/>
      <c r="I97" s="56"/>
      <c r="J97" s="56"/>
      <c r="K97" s="56"/>
      <c r="L97" s="56"/>
      <c r="M97" s="56"/>
      <c r="N97" s="56"/>
    </row>
    <row r="98" spans="4:22" x14ac:dyDescent="0.3">
      <c r="D98" s="27"/>
      <c r="E98" s="56"/>
      <c r="F98" s="56"/>
      <c r="G98" s="56"/>
      <c r="H98" s="56"/>
      <c r="I98" s="56"/>
      <c r="J98" s="56"/>
      <c r="K98" s="56"/>
      <c r="L98" s="56"/>
      <c r="M98" s="56"/>
      <c r="N98" s="56"/>
    </row>
    <row r="99" spans="4:22" x14ac:dyDescent="0.3">
      <c r="D99" s="27"/>
      <c r="E99" s="56"/>
      <c r="F99" s="56"/>
      <c r="G99" s="56"/>
      <c r="H99" s="56"/>
      <c r="I99" s="56"/>
      <c r="J99" s="56"/>
      <c r="K99" s="56"/>
      <c r="L99" s="56"/>
      <c r="M99" s="56"/>
      <c r="N99" s="56"/>
    </row>
    <row r="100" spans="4:22" x14ac:dyDescent="0.3">
      <c r="D100" s="65"/>
      <c r="E100" s="56"/>
      <c r="F100" s="56"/>
      <c r="G100" s="56"/>
      <c r="H100" s="56"/>
      <c r="I100" s="56"/>
      <c r="J100" s="56"/>
      <c r="K100" s="56"/>
      <c r="L100" s="56"/>
      <c r="M100" s="56"/>
      <c r="N100" s="56"/>
    </row>
    <row r="101" spans="4:22" x14ac:dyDescent="0.3">
      <c r="D101" s="65"/>
      <c r="E101" s="56"/>
      <c r="F101" s="56"/>
      <c r="G101" s="56"/>
      <c r="H101" s="56"/>
      <c r="I101" s="56"/>
      <c r="J101" s="56"/>
      <c r="K101" s="56"/>
      <c r="L101" s="56"/>
      <c r="M101" s="56"/>
      <c r="N101" s="56"/>
    </row>
    <row r="102" spans="4:22" x14ac:dyDescent="0.3">
      <c r="D102" s="27"/>
      <c r="E102" s="56"/>
      <c r="F102" s="56"/>
      <c r="G102" s="56"/>
      <c r="H102" s="56"/>
      <c r="I102" s="56"/>
      <c r="J102" s="56"/>
      <c r="K102" s="56"/>
      <c r="L102" s="56"/>
      <c r="M102" s="56"/>
      <c r="N102" s="56"/>
    </row>
    <row r="103" spans="4:22" x14ac:dyDescent="0.3">
      <c r="D103" s="27"/>
      <c r="E103" s="56"/>
      <c r="F103" s="56"/>
      <c r="G103" s="56"/>
      <c r="H103" s="56"/>
      <c r="I103" s="56"/>
      <c r="J103" s="56"/>
      <c r="K103" s="56"/>
      <c r="L103" s="56"/>
      <c r="M103" s="56"/>
      <c r="N103" s="56"/>
    </row>
    <row r="104" spans="4:22" x14ac:dyDescent="0.3">
      <c r="D104" s="27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V104"/>
    </row>
    <row r="105" spans="4:22" x14ac:dyDescent="0.3">
      <c r="D105" s="27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V105"/>
    </row>
    <row r="106" spans="4:22" x14ac:dyDescent="0.3">
      <c r="D106" s="27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V106"/>
    </row>
    <row r="107" spans="4:22" x14ac:dyDescent="0.3">
      <c r="D107" s="27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V107"/>
    </row>
    <row r="108" spans="4:22" x14ac:dyDescent="0.3">
      <c r="D108" s="65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V108"/>
    </row>
    <row r="109" spans="4:22" x14ac:dyDescent="0.3">
      <c r="D109" s="65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V109"/>
    </row>
    <row r="110" spans="4:22" x14ac:dyDescent="0.3">
      <c r="D110" s="27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V110"/>
    </row>
    <row r="111" spans="4:22" x14ac:dyDescent="0.3">
      <c r="D111" s="27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V111"/>
    </row>
    <row r="112" spans="4:22" x14ac:dyDescent="0.3">
      <c r="D112" s="27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V112"/>
    </row>
    <row r="113" spans="4:22" x14ac:dyDescent="0.3">
      <c r="D113" s="27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V113"/>
    </row>
    <row r="114" spans="4:22" x14ac:dyDescent="0.3">
      <c r="D114" s="27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V114"/>
    </row>
    <row r="115" spans="4:22" x14ac:dyDescent="0.3">
      <c r="D115" s="27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V115"/>
    </row>
    <row r="116" spans="4:22" x14ac:dyDescent="0.3">
      <c r="D116" s="65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V116"/>
    </row>
    <row r="117" spans="4:22" x14ac:dyDescent="0.3">
      <c r="D117" s="65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V117"/>
    </row>
    <row r="118" spans="4:22" x14ac:dyDescent="0.3">
      <c r="D118" s="27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V118"/>
    </row>
    <row r="119" spans="4:22" x14ac:dyDescent="0.3">
      <c r="D119" s="27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V119"/>
    </row>
    <row r="120" spans="4:22" x14ac:dyDescent="0.3">
      <c r="D120" s="27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V120"/>
    </row>
    <row r="121" spans="4:22" x14ac:dyDescent="0.3">
      <c r="D121" s="27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V121"/>
    </row>
    <row r="122" spans="4:22" x14ac:dyDescent="0.3">
      <c r="D122" s="27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V122"/>
    </row>
    <row r="123" spans="4:22" x14ac:dyDescent="0.3">
      <c r="D123" s="27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V123"/>
    </row>
    <row r="124" spans="4:22" x14ac:dyDescent="0.3">
      <c r="D124" s="65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V124"/>
    </row>
    <row r="125" spans="4:22" x14ac:dyDescent="0.3">
      <c r="D125" s="65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V125"/>
    </row>
    <row r="126" spans="4:22" x14ac:dyDescent="0.3">
      <c r="D126" s="27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V126"/>
    </row>
    <row r="127" spans="4:22" x14ac:dyDescent="0.3">
      <c r="D127" s="27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V127"/>
    </row>
    <row r="128" spans="4:22" x14ac:dyDescent="0.3">
      <c r="D128" s="27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V128"/>
    </row>
    <row r="129" spans="4:22" x14ac:dyDescent="0.3">
      <c r="D129" s="27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V129"/>
    </row>
    <row r="130" spans="4:22" x14ac:dyDescent="0.3">
      <c r="D130" s="27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V130"/>
    </row>
    <row r="131" spans="4:22" x14ac:dyDescent="0.3">
      <c r="D131" s="27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V131"/>
    </row>
    <row r="132" spans="4:22" x14ac:dyDescent="0.3">
      <c r="D132" s="65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V132"/>
    </row>
    <row r="133" spans="4:22" x14ac:dyDescent="0.3">
      <c r="D133" s="65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V133"/>
    </row>
    <row r="134" spans="4:22" x14ac:dyDescent="0.3">
      <c r="D134" s="27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V134"/>
    </row>
    <row r="135" spans="4:22" x14ac:dyDescent="0.3">
      <c r="D135" s="27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V135"/>
    </row>
    <row r="136" spans="4:22" x14ac:dyDescent="0.3">
      <c r="D136" s="27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V136"/>
    </row>
    <row r="137" spans="4:22" x14ac:dyDescent="0.3">
      <c r="D137" s="27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V137"/>
    </row>
    <row r="138" spans="4:22" x14ac:dyDescent="0.3">
      <c r="D138" s="27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V138"/>
    </row>
    <row r="139" spans="4:22" x14ac:dyDescent="0.3">
      <c r="D139" s="27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V139"/>
    </row>
    <row r="140" spans="4:22" x14ac:dyDescent="0.3">
      <c r="D140" s="65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V140"/>
    </row>
    <row r="141" spans="4:22" x14ac:dyDescent="0.3">
      <c r="D141" s="65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V141"/>
    </row>
    <row r="142" spans="4:22" x14ac:dyDescent="0.3">
      <c r="D142" s="27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V142"/>
    </row>
    <row r="143" spans="4:22" x14ac:dyDescent="0.3">
      <c r="D143" s="27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V143"/>
    </row>
    <row r="144" spans="4:22" x14ac:dyDescent="0.3">
      <c r="D144" s="27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V144"/>
    </row>
    <row r="145" spans="4:22" x14ac:dyDescent="0.3">
      <c r="D145" s="27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V145"/>
    </row>
    <row r="146" spans="4:22" x14ac:dyDescent="0.3">
      <c r="D146" s="27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V146"/>
    </row>
    <row r="147" spans="4:22" x14ac:dyDescent="0.3">
      <c r="D147" s="27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V147"/>
    </row>
    <row r="148" spans="4:22" x14ac:dyDescent="0.3">
      <c r="D148" s="65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V148"/>
    </row>
    <row r="149" spans="4:22" x14ac:dyDescent="0.3">
      <c r="D149" s="65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V149"/>
    </row>
    <row r="150" spans="4:22" x14ac:dyDescent="0.3">
      <c r="D150" s="27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V150"/>
    </row>
    <row r="151" spans="4:22" x14ac:dyDescent="0.3">
      <c r="D151" s="27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V151"/>
    </row>
    <row r="152" spans="4:22" x14ac:dyDescent="0.3">
      <c r="D152" s="27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V152"/>
    </row>
    <row r="153" spans="4:22" x14ac:dyDescent="0.3">
      <c r="D153" s="27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V153"/>
    </row>
    <row r="154" spans="4:22" x14ac:dyDescent="0.3">
      <c r="D154" s="27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V154"/>
    </row>
    <row r="155" spans="4:22" x14ac:dyDescent="0.3">
      <c r="D155" s="27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V155"/>
    </row>
    <row r="156" spans="4:22" x14ac:dyDescent="0.3">
      <c r="D156" s="65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V156"/>
    </row>
    <row r="157" spans="4:22" x14ac:dyDescent="0.3">
      <c r="D157" s="65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V157"/>
    </row>
    <row r="158" spans="4:22" x14ac:dyDescent="0.3">
      <c r="D158" s="27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V158"/>
    </row>
    <row r="159" spans="4:22" x14ac:dyDescent="0.3">
      <c r="D159" s="27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V159"/>
    </row>
    <row r="160" spans="4:22" x14ac:dyDescent="0.3">
      <c r="D160" s="27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V160"/>
    </row>
    <row r="161" spans="4:22" x14ac:dyDescent="0.3">
      <c r="D161" s="27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V161"/>
    </row>
    <row r="162" spans="4:22" x14ac:dyDescent="0.3">
      <c r="D162" s="27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V162"/>
    </row>
    <row r="163" spans="4:22" x14ac:dyDescent="0.3">
      <c r="D163" s="27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V163"/>
    </row>
    <row r="164" spans="4:22" x14ac:dyDescent="0.3">
      <c r="D164" s="65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V164"/>
    </row>
    <row r="165" spans="4:22" x14ac:dyDescent="0.3">
      <c r="D165" s="65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V165"/>
    </row>
    <row r="166" spans="4:22" x14ac:dyDescent="0.3">
      <c r="D166" s="27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V166"/>
    </row>
    <row r="167" spans="4:22" x14ac:dyDescent="0.3">
      <c r="D167" s="27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V167"/>
    </row>
    <row r="168" spans="4:22" x14ac:dyDescent="0.3">
      <c r="D168" s="67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V168"/>
    </row>
    <row r="169" spans="4:22" x14ac:dyDescent="0.3">
      <c r="D169" s="68"/>
      <c r="E169" s="57"/>
      <c r="F169" s="56"/>
      <c r="G169" s="56"/>
      <c r="H169" s="56"/>
      <c r="I169" s="56"/>
      <c r="J169" s="56"/>
      <c r="K169" s="56"/>
      <c r="L169" s="56"/>
      <c r="M169" s="56"/>
      <c r="N169" s="56"/>
      <c r="V169"/>
    </row>
    <row r="170" spans="4:22" x14ac:dyDescent="0.3">
      <c r="D170" s="27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V170"/>
    </row>
    <row r="171" spans="4:22" x14ac:dyDescent="0.3">
      <c r="D171" s="27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V171"/>
    </row>
    <row r="172" spans="4:22" x14ac:dyDescent="0.3">
      <c r="D172" s="27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V172"/>
    </row>
    <row r="173" spans="4:22" x14ac:dyDescent="0.3">
      <c r="D173" s="27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V173"/>
    </row>
    <row r="174" spans="4:22" x14ac:dyDescent="0.3">
      <c r="D174" s="27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V174"/>
    </row>
    <row r="175" spans="4:22" x14ac:dyDescent="0.3">
      <c r="D175" s="27"/>
      <c r="E175" s="56"/>
      <c r="F175" s="56"/>
      <c r="G175" s="56"/>
      <c r="H175" s="56"/>
      <c r="I175" s="56"/>
      <c r="J175" s="56"/>
      <c r="K175" s="56"/>
      <c r="L175" s="56"/>
      <c r="M175" s="56"/>
      <c r="N175" s="56"/>
    </row>
    <row r="176" spans="4:22" x14ac:dyDescent="0.3">
      <c r="D176" s="65"/>
      <c r="E176" s="56"/>
      <c r="F176" s="56"/>
      <c r="G176" s="56"/>
      <c r="H176" s="56"/>
      <c r="I176" s="56"/>
      <c r="J176" s="56"/>
      <c r="K176" s="56"/>
      <c r="L176" s="56"/>
      <c r="M176" s="56"/>
      <c r="N176" s="56"/>
    </row>
    <row r="177" spans="4:14" x14ac:dyDescent="0.3">
      <c r="D177" s="65"/>
      <c r="E177" s="56"/>
      <c r="F177" s="56"/>
      <c r="G177" s="56"/>
      <c r="H177" s="56"/>
      <c r="I177" s="56"/>
      <c r="J177" s="56"/>
      <c r="K177" s="56"/>
      <c r="L177" s="56"/>
      <c r="M177" s="56"/>
      <c r="N177" s="56"/>
    </row>
    <row r="187" spans="4:14" x14ac:dyDescent="0.3">
      <c r="F187" s="3"/>
      <c r="G187" s="3"/>
      <c r="H187" s="3"/>
      <c r="I187" s="3"/>
      <c r="J187" s="3"/>
      <c r="K187" s="3"/>
      <c r="L187" s="3"/>
      <c r="M187" s="3"/>
      <c r="N187" s="3"/>
    </row>
  </sheetData>
  <mergeCells count="4">
    <mergeCell ref="L1:O1"/>
    <mergeCell ref="Q25:S25"/>
    <mergeCell ref="Q32:S32"/>
    <mergeCell ref="Q39:S39"/>
  </mergeCells>
  <conditionalFormatting sqref="V6:V23">
    <cfRule type="cellIs" dxfId="0" priority="1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SolveMatrix">
                <anchor moveWithCells="1" sizeWithCells="1">
                  <from>
                    <xdr:col>21</xdr:col>
                    <xdr:colOff>106680</xdr:colOff>
                    <xdr:row>26</xdr:row>
                    <xdr:rowOff>53340</xdr:rowOff>
                  </from>
                  <to>
                    <xdr:col>25</xdr:col>
                    <xdr:colOff>952500</xdr:colOff>
                    <xdr:row>28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CALCULATOR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2020-06-25T22:28:32Z</dcterms:modified>
</cp:coreProperties>
</file>