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0E65D029-CDA3-4F3B-B971-B7684A1283C7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<sst xmlns="http://schemas.openxmlformats.org/spreadsheetml/2006/main" count="72" uniqueCount="30">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</sst>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D10" zoomScale="85" zoomScaleNormal="85" workbookViewId="0">
      <selection activeCell="Z40" sqref="Z40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28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29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4218.7804388757177</v>
      </c>
      <c r="R6" s="6">
        <v>1644.6583206676592</v>
      </c>
      <c r="S6" s="6">
        <v>22510.585496418524</v>
      </c>
      <c r="T6" s="6">
        <f t="shared" ref="T6:T23" si="2">Q6/(Q6+R6+S6)</f>
        <v>0.14868459971761935</v>
      </c>
      <c r="U6" s="7">
        <f t="shared" ref="U6:U23" si="3">R6/(Q6+R6+S6)</f>
        <v>5.7963519937503628E-2</v>
      </c>
      <c r="V6" s="45">
        <v>0</v>
      </c>
      <c r="W6" s="86">
        <f t="shared" ref="W6:X21" si="4">J6-T6</f>
        <v>-1.7293908600451435E-3</v>
      </c>
      <c r="X6" s="87">
        <f t="shared" si="4"/>
        <v>-4.6167660371513389E-3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5249.1717262424663</v>
      </c>
      <c r="R7" s="6">
        <v>17430.745883912168</v>
      </c>
      <c r="S7" s="6">
        <v>4432.8251157323284</v>
      </c>
      <c r="T7" s="6">
        <f t="shared" si="2"/>
        <v>0.19360533824675039</v>
      </c>
      <c r="U7" s="7">
        <f t="shared" si="3"/>
        <v>0.64289865692080927</v>
      </c>
      <c r="V7" s="45">
        <v>0</v>
      </c>
      <c r="W7" s="86">
        <f t="shared" si="4"/>
        <v>6.8292081954006156E-3</v>
      </c>
      <c r="X7" s="87">
        <f t="shared" si="4"/>
        <v>5.0202918310043532E-2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25620.427569351388</v>
      </c>
      <c r="R8" s="6">
        <v>10833.6291172116</v>
      </c>
      <c r="S8" s="6">
        <v>5226.0442140993728</v>
      </c>
      <c r="T8" s="6">
        <f t="shared" si="2"/>
        <v>0.61469207165341189</v>
      </c>
      <c r="U8" s="7">
        <f t="shared" si="3"/>
        <v>0.25992329392464203</v>
      </c>
      <c r="V8" s="45">
        <v>0</v>
      </c>
      <c r="W8" s="86">
        <f t="shared" si="4"/>
        <v>6.6991390113037563E-2</v>
      </c>
      <c r="X8" s="87">
        <f t="shared" si="4"/>
        <v>4.9501720894563672E-2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9523.5247588570364</v>
      </c>
      <c r="R9" s="6">
        <v>4487.3609121652353</v>
      </c>
      <c r="S9" s="6">
        <v>23478.869356452073</v>
      </c>
      <c r="T9" s="6">
        <f t="shared" si="2"/>
        <v>0.25403006106275511</v>
      </c>
      <c r="U9" s="7">
        <f t="shared" si="3"/>
        <v>0.11969565842392611</v>
      </c>
      <c r="V9" s="45">
        <v>0</v>
      </c>
      <c r="W9" s="86">
        <f t="shared" si="4"/>
        <v>-2.7451439519214027E-2</v>
      </c>
      <c r="X9" s="87">
        <f t="shared" si="4"/>
        <v>-8.6762609827375076E-3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6208.3445636234119</v>
      </c>
      <c r="R10" s="6">
        <v>5589.5972475616227</v>
      </c>
      <c r="S10" s="6">
        <v>23276.105717060909</v>
      </c>
      <c r="T10" s="6">
        <f t="shared" si="2"/>
        <v>0.17700678995270472</v>
      </c>
      <c r="U10" s="7">
        <f t="shared" si="3"/>
        <v>0.15936561764250876</v>
      </c>
      <c r="V10" s="45">
        <v>0</v>
      </c>
      <c r="W10" s="86">
        <f t="shared" si="4"/>
        <v>-5.1573627841285941E-3</v>
      </c>
      <c r="X10" s="87">
        <f t="shared" si="4"/>
        <v>3.0730075620739317E-3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26329.376367418943</v>
      </c>
      <c r="R11" s="6">
        <v>11689.072747705652</v>
      </c>
      <c r="S11" s="6">
        <v>9825.7861587605184</v>
      </c>
      <c r="T11" s="6">
        <f t="shared" si="2"/>
        <v>0.55031449905502705</v>
      </c>
      <c r="U11" s="7">
        <f t="shared" si="3"/>
        <v>0.2443151757111669</v>
      </c>
      <c r="V11" s="45">
        <v>0</v>
      </c>
      <c r="W11" s="86">
        <f t="shared" si="4"/>
        <v>1.0312518003525395E-2</v>
      </c>
      <c r="X11" s="87">
        <f t="shared" si="4"/>
        <v>2.862166154102308E-2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7008.4397324563033</v>
      </c>
      <c r="R12" s="6">
        <v>17978.869156667952</v>
      </c>
      <c r="S12" s="6">
        <v>9010.5640970114055</v>
      </c>
      <c r="T12" s="6">
        <f t="shared" si="2"/>
        <v>0.20614347654379278</v>
      </c>
      <c r="U12" s="7">
        <f t="shared" si="3"/>
        <v>0.52882335209616604</v>
      </c>
      <c r="V12" s="45">
        <v>0</v>
      </c>
      <c r="W12" s="89">
        <f t="shared" si="4"/>
        <v>6.8775397535969507E-5</v>
      </c>
      <c r="X12" s="90">
        <f t="shared" si="4"/>
        <v>3.9338856704524194E-2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10481.459825373366</v>
      </c>
      <c r="R13" s="6">
        <v>19457.383671373722</v>
      </c>
      <c r="S13" s="6">
        <v>6121.3312615603681</v>
      </c>
      <c r="T13" s="6">
        <f t="shared" si="2"/>
        <v>0.29066580779558399</v>
      </c>
      <c r="U13" s="7">
        <f t="shared" si="3"/>
        <v>0.53958095882192514</v>
      </c>
      <c r="V13" s="45">
        <v>0</v>
      </c>
      <c r="W13" s="86">
        <f t="shared" si="4"/>
        <v>-1.677200248584948E-2</v>
      </c>
      <c r="X13" s="87">
        <f t="shared" si="4"/>
        <v>7.05960323285173E-2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26409.990018734687</v>
      </c>
      <c r="R14" s="6">
        <v>14257.506088110913</v>
      </c>
      <c r="S14" s="6">
        <v>6745.6155497225191</v>
      </c>
      <c r="T14" s="6">
        <f t="shared" si="2"/>
        <v>0.55701870423592248</v>
      </c>
      <c r="U14" s="7">
        <f t="shared" si="3"/>
        <v>0.30070808664454796</v>
      </c>
      <c r="V14" s="45">
        <v>0</v>
      </c>
      <c r="W14" s="86">
        <f t="shared" si="4"/>
        <v>1.7090113775334537E-2</v>
      </c>
      <c r="X14" s="87">
        <f t="shared" si="4"/>
        <v>6.7490787651887318E-2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33125.520111007361</v>
      </c>
      <c r="R15" s="6">
        <v>28575.239162163536</v>
      </c>
      <c r="S15" s="6">
        <v>29807.427994819212</v>
      </c>
      <c r="T15" s="6">
        <f t="shared" si="2"/>
        <v>0.36199515147203432</v>
      </c>
      <c r="U15" s="7">
        <f t="shared" si="3"/>
        <v>0.31226975438250493</v>
      </c>
      <c r="V15" s="45">
        <v>0</v>
      </c>
      <c r="W15" s="86">
        <f t="shared" si="4"/>
        <v>-3.4916417108531772E-2</v>
      </c>
      <c r="X15" s="87">
        <f t="shared" si="4"/>
        <v>3.2836941717568624E-2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14138.080144910005</v>
      </c>
      <c r="R16" s="6">
        <v>13540.996458055621</v>
      </c>
      <c r="S16" s="6">
        <v>12898.905167158608</v>
      </c>
      <c r="T16" s="6">
        <f t="shared" si="2"/>
        <v>0.34841752911721313</v>
      </c>
      <c r="U16" s="7">
        <f t="shared" si="3"/>
        <v>0.33370305439944908</v>
      </c>
      <c r="V16" s="45">
        <v>0</v>
      </c>
      <c r="W16" s="86">
        <f t="shared" si="4"/>
        <v>-3.1222203574642227E-2</v>
      </c>
      <c r="X16" s="87">
        <f t="shared" si="4"/>
        <v>4.1505626735776291E-2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23.669509960254882</v>
      </c>
      <c r="H17">
        <v>13.334400203957774</v>
      </c>
      <c r="I17">
        <v>1.5784245643427475</v>
      </c>
      <c r="J17" s="69">
        <f t="shared" si="0"/>
        <v>0.61348049895841839</v>
      </c>
      <c r="K17" s="69">
        <f t="shared" si="1"/>
        <v>0.34560895025589966</v>
      </c>
      <c r="L17" s="72"/>
      <c r="M17">
        <v>28.089868126426296</v>
      </c>
      <c r="N17">
        <v>9.8176611660790822</v>
      </c>
      <c r="O17">
        <v>2.93358296124915</v>
      </c>
      <c r="P17" s="73">
        <f>J117</f>
        <v>0</v>
      </c>
      <c r="Q17" s="74">
        <v>23.561139794590144</v>
      </c>
      <c r="R17" s="75">
        <v>13.273121277494418</v>
      </c>
      <c r="S17" s="75">
        <v>1.5713559057928075</v>
      </c>
      <c r="T17" s="75">
        <f t="shared" si="2"/>
        <v>0.61348161150911784</v>
      </c>
      <c r="U17" s="76">
        <f t="shared" si="3"/>
        <v>0.34560364660044601</v>
      </c>
      <c r="V17" s="73">
        <v>1</v>
      </c>
      <c r="W17" s="91">
        <f t="shared" si="4"/>
        <v>-1.1125506994558165E-6</v>
      </c>
      <c r="X17" s="92">
        <f t="shared" si="4"/>
        <v>5.3036554536478597E-6</v>
      </c>
      <c r="Y17" s="91">
        <f t="shared" si="5"/>
        <v>-1.1125506994558165E-6</v>
      </c>
      <c r="Z17" s="93">
        <f t="shared" si="5"/>
        <v>5.3036554536478597E-6</v>
      </c>
      <c r="AB17" s="97">
        <f>(H17-R17)/H17</f>
        <v>4.595551770312652E-3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7.9778613647473264</v>
      </c>
      <c r="H18">
        <v>32.202195545848532</v>
      </c>
      <c r="I18">
        <v>6.2418075316724693</v>
      </c>
      <c r="J18" s="69">
        <f t="shared" si="0"/>
        <v>0.17185568612111307</v>
      </c>
      <c r="K18" s="69">
        <f t="shared" si="1"/>
        <v>0.69368595882003359</v>
      </c>
      <c r="L18" s="72"/>
      <c r="M18">
        <v>3.0406647105363467</v>
      </c>
      <c r="N18">
        <v>41.244145427438596</v>
      </c>
      <c r="O18">
        <v>13.734390731098262</v>
      </c>
      <c r="P18" s="73">
        <f>J125</f>
        <v>0</v>
      </c>
      <c r="Q18" s="74">
        <v>7.9426524892250665</v>
      </c>
      <c r="R18" s="75">
        <v>32.05985724945247</v>
      </c>
      <c r="S18" s="75">
        <v>6.2148053635957652</v>
      </c>
      <c r="T18" s="75">
        <f t="shared" si="2"/>
        <v>0.17185447643700075</v>
      </c>
      <c r="U18" s="76">
        <f t="shared" si="3"/>
        <v>0.69367632408996283</v>
      </c>
      <c r="V18" s="73">
        <v>1</v>
      </c>
      <c r="W18" s="91">
        <f t="shared" si="4"/>
        <v>1.2096841123243607E-6</v>
      </c>
      <c r="X18" s="92">
        <f t="shared" si="4"/>
        <v>9.6347300707622097E-6</v>
      </c>
      <c r="Y18" s="91">
        <f t="shared" si="5"/>
        <v>1.2096841123243607E-6</v>
      </c>
      <c r="Z18" s="93">
        <f t="shared" si="5"/>
        <v>9.6347300707622097E-6</v>
      </c>
      <c r="AB18" s="97">
        <f t="shared" ref="AB18:AB23" si="6">(H18-R18)/H18</f>
        <v>4.4201426015628327E-3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4.7047804406894027</v>
      </c>
      <c r="H19">
        <v>1.8733954940300059</v>
      </c>
      <c r="I19">
        <v>20.184770929627895</v>
      </c>
      <c r="J19" s="69">
        <f t="shared" si="0"/>
        <v>0.17579455896753107</v>
      </c>
      <c r="K19" s="69">
        <f t="shared" si="1"/>
        <v>6.999959696238385E-2</v>
      </c>
      <c r="L19" s="72"/>
      <c r="M19">
        <v>2.3998268279677633</v>
      </c>
      <c r="N19">
        <v>3.4074268828688155</v>
      </c>
      <c r="O19">
        <v>9.2516459140848628</v>
      </c>
      <c r="P19" s="73">
        <f>J133</f>
        <v>0</v>
      </c>
      <c r="Q19" s="74">
        <v>4.6843313361913532</v>
      </c>
      <c r="R19" s="75">
        <v>1.8644353105858964</v>
      </c>
      <c r="S19" s="75">
        <v>20.093513844479578</v>
      </c>
      <c r="T19" s="75">
        <f t="shared" si="2"/>
        <v>0.17582321219569044</v>
      </c>
      <c r="U19" s="76">
        <f t="shared" si="3"/>
        <v>6.9980319860296736E-2</v>
      </c>
      <c r="V19" s="77">
        <v>1</v>
      </c>
      <c r="W19" s="91">
        <f t="shared" si="4"/>
        <v>-2.8653228159369881E-5</v>
      </c>
      <c r="X19" s="92">
        <f t="shared" si="4"/>
        <v>1.9277102087114639E-5</v>
      </c>
      <c r="Y19" s="91">
        <f t="shared" si="5"/>
        <v>-2.8653228159369881E-5</v>
      </c>
      <c r="Z19" s="93">
        <f t="shared" si="5"/>
        <v>1.9277102087114639E-5</v>
      </c>
      <c r="AB19" s="97">
        <f t="shared" si="6"/>
        <v>4.7828573692331212E-3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31.647371325002212</v>
      </c>
      <c r="H20">
        <v>45.536595749806303</v>
      </c>
      <c r="I20">
        <v>7.8202320960152161</v>
      </c>
      <c r="J20" s="69">
        <f t="shared" si="0"/>
        <v>0.37230362304106784</v>
      </c>
      <c r="K20" s="69">
        <f t="shared" si="1"/>
        <v>0.53569819131283547</v>
      </c>
      <c r="L20" s="72"/>
      <c r="M20">
        <v>31.130532836962637</v>
      </c>
      <c r="N20">
        <v>51.061806593517687</v>
      </c>
      <c r="O20">
        <v>16.66797369234741</v>
      </c>
      <c r="P20" s="73">
        <f>J141</f>
        <v>0</v>
      </c>
      <c r="Q20" s="74">
        <v>31.503792283815201</v>
      </c>
      <c r="R20" s="75">
        <v>45.332978526946896</v>
      </c>
      <c r="S20" s="75">
        <v>7.7861612693885576</v>
      </c>
      <c r="T20" s="75">
        <f t="shared" si="2"/>
        <v>0.37228433841049574</v>
      </c>
      <c r="U20" s="76">
        <f t="shared" si="3"/>
        <v>0.53570559909233284</v>
      </c>
      <c r="V20" s="73">
        <v>1</v>
      </c>
      <c r="W20" s="91">
        <f t="shared" si="4"/>
        <v>1.9284630572102834E-5</v>
      </c>
      <c r="X20" s="92">
        <f t="shared" si="4"/>
        <v>-7.4077794973703703E-6</v>
      </c>
      <c r="Y20" s="91">
        <f t="shared" si="5"/>
        <v>1.9284630572102834E-5</v>
      </c>
      <c r="Z20" s="93">
        <f t="shared" si="5"/>
        <v>-7.4077794973703703E-6</v>
      </c>
      <c r="AB20" s="97">
        <f t="shared" si="6"/>
        <v>4.4715073559330135E-3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28.374290400944282</v>
      </c>
      <c r="H21">
        <v>15.20779569798778</v>
      </c>
      <c r="I21">
        <v>21.763195493970642</v>
      </c>
      <c r="J21" s="69">
        <f t="shared" si="0"/>
        <v>0.43422095229024271</v>
      </c>
      <c r="K21" s="69">
        <f t="shared" si="1"/>
        <v>0.23272982114808932</v>
      </c>
      <c r="L21" s="72"/>
      <c r="M21">
        <v>30.489694954394057</v>
      </c>
      <c r="N21">
        <v>13.225088048947898</v>
      </c>
      <c r="O21">
        <v>12.185228875334012</v>
      </c>
      <c r="P21" s="73">
        <f>J149</f>
        <v>0</v>
      </c>
      <c r="Q21" s="74">
        <v>28.245471130781493</v>
      </c>
      <c r="R21" s="75">
        <v>15.137556588080315</v>
      </c>
      <c r="S21" s="75">
        <v>21.664869750272384</v>
      </c>
      <c r="T21" s="75">
        <f t="shared" si="2"/>
        <v>0.43422573564632461</v>
      </c>
      <c r="U21" s="76">
        <f t="shared" si="3"/>
        <v>0.23271400271258913</v>
      </c>
      <c r="V21" s="77">
        <v>1</v>
      </c>
      <c r="W21" s="91">
        <f t="shared" si="4"/>
        <v>-4.7833560818943965E-6</v>
      </c>
      <c r="X21" s="92">
        <f t="shared" si="4"/>
        <v>1.5818435500192241E-5</v>
      </c>
      <c r="Y21" s="91">
        <f t="shared" si="5"/>
        <v>-4.7833560818943965E-6</v>
      </c>
      <c r="Z21" s="93">
        <f t="shared" si="5"/>
        <v>1.5818435500192241E-5</v>
      </c>
      <c r="AB21" s="97">
        <f t="shared" si="6"/>
        <v>4.6186252960222877E-3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12.682641805436727</v>
      </c>
      <c r="H22">
        <v>34.075591039878539</v>
      </c>
      <c r="I22">
        <v>26.426578461300362</v>
      </c>
      <c r="J22" s="69">
        <f t="shared" si="0"/>
        <v>0.17329609216728642</v>
      </c>
      <c r="K22" s="69">
        <f t="shared" si="1"/>
        <v>0.46561015095215852</v>
      </c>
      <c r="L22" s="72"/>
      <c r="M22">
        <v>5.4404915385041104</v>
      </c>
      <c r="N22">
        <v>44.651572310307408</v>
      </c>
      <c r="O22">
        <v>22.986036645183123</v>
      </c>
      <c r="P22" s="73">
        <f>J157</f>
        <v>0</v>
      </c>
      <c r="Q22" s="74">
        <v>12.626983825416419</v>
      </c>
      <c r="R22" s="75">
        <v>33.92429256003836</v>
      </c>
      <c r="S22" s="75">
        <v>26.308319208075339</v>
      </c>
      <c r="T22" s="75">
        <f t="shared" si="2"/>
        <v>0.17330570836352113</v>
      </c>
      <c r="U22" s="76">
        <f t="shared" si="3"/>
        <v>0.46561187011379479</v>
      </c>
      <c r="V22" s="73">
        <v>1</v>
      </c>
      <c r="W22" s="91">
        <f t="shared" ref="W22:X23" si="7">J22-T22</f>
        <v>-9.6161962347129926E-6</v>
      </c>
      <c r="X22" s="92">
        <f t="shared" si="7"/>
        <v>-1.7191616362710604E-6</v>
      </c>
      <c r="Y22" s="91">
        <f t="shared" si="5"/>
        <v>-9.6161962347129926E-6</v>
      </c>
      <c r="Z22" s="93">
        <f t="shared" si="5"/>
        <v>-1.7191616362710604E-6</v>
      </c>
      <c r="AB22" s="97">
        <f t="shared" si="6"/>
        <v>4.4400838025997792E-3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36.352151765691616</v>
      </c>
      <c r="H23">
        <v>47.409991243836316</v>
      </c>
      <c r="I23">
        <v>28.005003025643113</v>
      </c>
      <c r="J23" s="69">
        <f t="shared" si="0"/>
        <v>0.32524899360186105</v>
      </c>
      <c r="K23" s="69">
        <f t="shared" si="1"/>
        <v>0.4241853972804967</v>
      </c>
      <c r="L23" s="72"/>
      <c r="M23">
        <v>33.530359664930401</v>
      </c>
      <c r="N23">
        <v>54.469233476386492</v>
      </c>
      <c r="O23">
        <v>25.919619606432274</v>
      </c>
      <c r="P23" s="77">
        <f>J165</f>
        <v>0</v>
      </c>
      <c r="Q23" s="79">
        <v>36.188123620006557</v>
      </c>
      <c r="R23" s="80">
        <v>47.197413837532785</v>
      </c>
      <c r="S23" s="80">
        <v>27.879675113868146</v>
      </c>
      <c r="T23" s="80">
        <f t="shared" si="2"/>
        <v>0.32524203013391845</v>
      </c>
      <c r="U23" s="81">
        <f t="shared" si="3"/>
        <v>0.42418841205414998</v>
      </c>
      <c r="V23" s="77">
        <v>1</v>
      </c>
      <c r="W23" s="94">
        <f t="shared" si="7"/>
        <v>6.9634679426000545E-6</v>
      </c>
      <c r="X23" s="95">
        <f t="shared" si="7"/>
        <v>-3.0147736532759595E-6</v>
      </c>
      <c r="Y23" s="94">
        <f t="shared" si="5"/>
        <v>6.9634679426000545E-6</v>
      </c>
      <c r="Z23" s="96">
        <f t="shared" si="5"/>
        <v>-3.0147736532759595E-6</v>
      </c>
      <c r="AB23" s="97">
        <f t="shared" si="6"/>
        <v>4.4838102840014261E-3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4.6574167748186305E-5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0.59940886683711003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0.35355726420138528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0.42553398434241951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9359.6200188871135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1.3269395516115987</v>
      </c>
      <c r="R34" s="27">
        <v>0.3408471277592876</v>
      </c>
      <c r="S34" s="28">
        <v>5.4800332095209389E-2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0.10972237276378971</v>
      </c>
      <c r="R35" s="27">
        <v>2.2978995849661796</v>
      </c>
      <c r="S35" s="28">
        <v>-1.8444655017516003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0.67143711134100303</v>
      </c>
      <c r="R36" s="29">
        <v>-0.3541354963724182</v>
      </c>
      <c r="S36" s="30">
        <v>5.6483040363148218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0.79537933299285124</v>
      </c>
      <c r="R41" s="27">
        <v>0.20430679061487825</v>
      </c>
      <c r="S41" s="28">
        <v>3.2847804963486771E-2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3.8793141936050081E-2</v>
      </c>
      <c r="R42" s="27">
        <v>0.8124390906701412</v>
      </c>
      <c r="S42" s="28">
        <v>-0.65212417671313117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0.28571930922430178</v>
      </c>
      <c r="R43" s="29">
        <v>-0.15069668876843556</v>
      </c>
      <c r="S43" s="30">
        <v>2.4035453213504163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0.48605844381377245</v>
      </c>
      <c r="R48" s="27">
        <v>0.1248524277506548</v>
      </c>
      <c r="S48" s="28">
        <v>2.0073381719856918E-2</v>
      </c>
      <c r="T48">
        <v>2.73</v>
      </c>
      <c r="U48">
        <f>T48*Q48</f>
        <v>1.3269395516115987</v>
      </c>
      <c r="V48" s="50">
        <f>T48*R48</f>
        <v>0.3408471277592876</v>
      </c>
      <c r="W48">
        <f>T48*S48</f>
        <v>5.4800332095209389E-2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4.0191345334721504E-2</v>
      </c>
      <c r="R49" s="27">
        <v>0.84172145969457135</v>
      </c>
      <c r="S49" s="28">
        <v>-0.6756283889200001</v>
      </c>
      <c r="T49">
        <v>2.73</v>
      </c>
      <c r="U49">
        <f t="shared" ref="U49:U50" si="8">T49*Q49</f>
        <v>0.10972237276378971</v>
      </c>
      <c r="V49" s="51">
        <f t="shared" ref="V49:V50" si="9">T49*R49</f>
        <v>2.2978995849661796</v>
      </c>
      <c r="W49">
        <f t="shared" ref="W49:W50" si="10">T49*S49</f>
        <v>-1.8444655017516003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0.24594765983186925</v>
      </c>
      <c r="R50" s="29">
        <v>-0.12971996204117883</v>
      </c>
      <c r="S50" s="30">
        <v>2.0689758374779568</v>
      </c>
      <c r="T50">
        <v>2.73</v>
      </c>
      <c r="U50">
        <f t="shared" si="8"/>
        <v>0.67143711134100303</v>
      </c>
      <c r="V50" s="51">
        <f t="shared" si="9"/>
        <v>-0.3541354963724182</v>
      </c>
      <c r="W50">
        <f t="shared" si="10"/>
        <v>5.6483040363148218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2020-06-25T23:58:42Z</dcterms:modified>
</cp:coreProperties>
</file>