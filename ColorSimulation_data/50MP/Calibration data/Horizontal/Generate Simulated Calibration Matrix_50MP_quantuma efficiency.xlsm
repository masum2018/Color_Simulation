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E7F2D286-2483-4040-A68A-C977CEC05EF9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<sst xmlns="http://schemas.openxmlformats.org/spreadsheetml/2006/main" count="72" uniqueCount="30">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</sst>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1" zoomScale="85" zoomScaleNormal="85" workbookViewId="0">
      <selection activeCell="W43" sqref="W43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73.845463856408955</v>
      </c>
      <c r="R6" s="6">
        <v>33.681687197757753</v>
      </c>
      <c r="S6" s="6">
        <v>321.84605197832815</v>
      </c>
      <c r="T6" s="6">
        <f t="shared" ref="T6:T23" si="2">Q6/(Q6+R6+S6)</f>
        <v>0.17198433282484177</v>
      </c>
      <c r="U6" s="7">
        <f t="shared" ref="U6:U23" si="3">R6/(Q6+R6+S6)</f>
        <v>7.8443850151516628E-2</v>
      </c>
      <c r="V6" s="45">
        <v>0</v>
      </c>
      <c r="W6" s="86">
        <f t="shared" ref="W6:X21" si="4">J6-T6</f>
        <v>-2.5029123967267558E-2</v>
      </c>
      <c r="X6" s="87">
        <f t="shared" si="4"/>
        <v>-2.5097096251164339E-2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150.51209659497698</v>
      </c>
      <c r="R7" s="6">
        <v>373.00750175285862</v>
      </c>
      <c r="S7" s="6">
        <v>107.61926308811317</v>
      </c>
      <c r="T7" s="6">
        <f t="shared" si="2"/>
        <v>0.23847699102624775</v>
      </c>
      <c r="U7" s="7">
        <f t="shared" si="3"/>
        <v>0.59100702641602954</v>
      </c>
      <c r="V7" s="45">
        <v>0</v>
      </c>
      <c r="W7" s="86">
        <f t="shared" si="4"/>
        <v>-3.8042444584096752E-2</v>
      </c>
      <c r="X7" s="87">
        <f t="shared" si="4"/>
        <v>0.10209454881482327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543.06441456773268</v>
      </c>
      <c r="R8" s="6">
        <v>229.95246333448034</v>
      </c>
      <c r="S8" s="6">
        <v>66.794130167958485</v>
      </c>
      <c r="T8" s="6">
        <f t="shared" si="2"/>
        <v>0.64665074564294855</v>
      </c>
      <c r="U8" s="7">
        <f t="shared" si="3"/>
        <v>0.27381453818150758</v>
      </c>
      <c r="V8" s="45">
        <v>0</v>
      </c>
      <c r="W8" s="86">
        <f t="shared" si="4"/>
        <v>3.5032716123500895E-2</v>
      </c>
      <c r="X8" s="87">
        <f t="shared" si="4"/>
        <v>3.5610476637698119E-2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188.00763052378335</v>
      </c>
      <c r="R9" s="6">
        <v>94.153234150339841</v>
      </c>
      <c r="S9" s="6">
        <v>335.83742548333043</v>
      </c>
      <c r="T9" s="6">
        <f t="shared" si="2"/>
        <v>0.30422030856409449</v>
      </c>
      <c r="U9" s="7">
        <f t="shared" si="3"/>
        <v>0.15235193308763278</v>
      </c>
      <c r="V9" s="45">
        <v>0</v>
      </c>
      <c r="W9" s="86">
        <f t="shared" si="4"/>
        <v>-7.7641687020553407E-2</v>
      </c>
      <c r="X9" s="87">
        <f t="shared" si="4"/>
        <v>-4.133253564644418E-2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124.25443897190371</v>
      </c>
      <c r="R10" s="6">
        <v>118.05164444258131</v>
      </c>
      <c r="S10" s="6">
        <v>341.50780801108561</v>
      </c>
      <c r="T10" s="6">
        <f t="shared" si="2"/>
        <v>0.21283227548508013</v>
      </c>
      <c r="U10" s="7">
        <f t="shared" si="3"/>
        <v>0.20220766613538432</v>
      </c>
      <c r="V10" s="45">
        <v>0</v>
      </c>
      <c r="W10" s="86">
        <f t="shared" si="4"/>
        <v>-4.0982848316504006E-2</v>
      </c>
      <c r="X10" s="87">
        <f t="shared" si="4"/>
        <v>-3.9769040930801636E-2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556.48435154159836</v>
      </c>
      <c r="R11" s="6">
        <v>247.98073106782161</v>
      </c>
      <c r="S11" s="6">
        <v>134.35994483533807</v>
      </c>
      <c r="T11" s="6">
        <f t="shared" si="2"/>
        <v>0.59274554392335133</v>
      </c>
      <c r="U11" s="7">
        <f t="shared" si="3"/>
        <v>0.26413945497678287</v>
      </c>
      <c r="V11" s="45">
        <v>0</v>
      </c>
      <c r="W11" s="86">
        <f t="shared" si="4"/>
        <v>-3.211852686479888E-2</v>
      </c>
      <c r="X11" s="87">
        <f t="shared" si="4"/>
        <v>8.7973822754071063E-3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184.30551886529801</v>
      </c>
      <c r="R12" s="6">
        <v>384.36704521298464</v>
      </c>
      <c r="S12" s="6">
        <v>172.27423364922984</v>
      </c>
      <c r="T12" s="6">
        <f t="shared" si="2"/>
        <v>0.2487432558323539</v>
      </c>
      <c r="U12" s="7">
        <f t="shared" si="3"/>
        <v>0.5187512064183829</v>
      </c>
      <c r="V12" s="45">
        <v>0</v>
      </c>
      <c r="W12" s="89">
        <f t="shared" si="4"/>
        <v>-4.2531003891025154E-2</v>
      </c>
      <c r="X12" s="90">
        <f t="shared" si="4"/>
        <v>4.9411002382307334E-2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260.47408972836553</v>
      </c>
      <c r="R13" s="6">
        <v>415.95089274685074</v>
      </c>
      <c r="S13" s="6">
        <v>129.63453201435235</v>
      </c>
      <c r="T13" s="6">
        <f t="shared" si="2"/>
        <v>0.32314498501181876</v>
      </c>
      <c r="U13" s="7">
        <f t="shared" si="3"/>
        <v>0.51603000184204595</v>
      </c>
      <c r="V13" s="45">
        <v>0</v>
      </c>
      <c r="W13" s="86">
        <f t="shared" si="4"/>
        <v>-4.9251179702084258E-2</v>
      </c>
      <c r="X13" s="87">
        <f t="shared" si="4"/>
        <v>9.4146989308396489E-2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567.29907389649827</v>
      </c>
      <c r="R14" s="6">
        <v>303.20430824096377</v>
      </c>
      <c r="S14" s="6">
        <v>97.646754510746504</v>
      </c>
      <c r="T14" s="6">
        <f t="shared" si="2"/>
        <v>0.58596187969411473</v>
      </c>
      <c r="U14" s="7">
        <f t="shared" si="3"/>
        <v>0.31317901714157115</v>
      </c>
      <c r="V14" s="45">
        <v>0</v>
      </c>
      <c r="W14" s="86">
        <f t="shared" si="4"/>
        <v>-1.1853061682857713E-2</v>
      </c>
      <c r="X14" s="87">
        <f t="shared" si="4"/>
        <v>5.5019857154864127E-2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725.81504849286432</v>
      </c>
      <c r="R15" s="6">
        <v>608.33297556411878</v>
      </c>
      <c r="S15" s="6">
        <v>461.42920444403336</v>
      </c>
      <c r="T15" s="6">
        <f t="shared" si="2"/>
        <v>0.40422379888320881</v>
      </c>
      <c r="U15" s="7">
        <f t="shared" si="3"/>
        <v>0.33879521632827081</v>
      </c>
      <c r="V15" s="45">
        <v>0</v>
      </c>
      <c r="W15" s="86">
        <f t="shared" si="4"/>
        <v>-7.7145064519706263E-2</v>
      </c>
      <c r="X15" s="87">
        <f t="shared" si="4"/>
        <v>6.3114797718027416E-3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313.33501794289111</v>
      </c>
      <c r="R16" s="6">
        <v>288.46122948598128</v>
      </c>
      <c r="S16" s="6">
        <v>203.51596449053568</v>
      </c>
      <c r="T16" s="6">
        <f t="shared" si="2"/>
        <v>0.38908514400406014</v>
      </c>
      <c r="U16" s="7">
        <f t="shared" si="3"/>
        <v>0.35819800720325984</v>
      </c>
      <c r="V16" s="45">
        <v>0</v>
      </c>
      <c r="W16" s="86">
        <f t="shared" si="4"/>
        <v>-7.188981846148923E-2</v>
      </c>
      <c r="X16" s="87">
        <f t="shared" si="4"/>
        <v>1.7010673931965536E-2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58.376434916473428</v>
      </c>
      <c r="H17">
        <v>27.890712915656305</v>
      </c>
      <c r="I17">
        <v>0.73630303582326673</v>
      </c>
      <c r="J17" s="69">
        <f t="shared" si="0"/>
        <v>0.67096689078543092</v>
      </c>
      <c r="K17" s="69">
        <f t="shared" si="1"/>
        <v>0.32057019161213085</v>
      </c>
      <c r="L17" s="72"/>
      <c r="M17">
        <v>3305.9358877805926</v>
      </c>
      <c r="N17">
        <v>824.29024037390002</v>
      </c>
      <c r="O17">
        <v>211.340840806476</v>
      </c>
      <c r="P17" s="73">
        <f>J117</f>
        <v>0</v>
      </c>
      <c r="Q17" s="74">
        <v>58.471749788762999</v>
      </c>
      <c r="R17" s="75">
        <v>27.935676795698281</v>
      </c>
      <c r="S17" s="75">
        <v>0.7365440687211251</v>
      </c>
      <c r="T17" s="75">
        <f t="shared" si="2"/>
        <v>0.67097871890036109</v>
      </c>
      <c r="U17" s="76">
        <f t="shared" si="3"/>
        <v>0.32056924404876314</v>
      </c>
      <c r="V17" s="73">
        <v>1</v>
      </c>
      <c r="W17" s="91">
        <f t="shared" si="4"/>
        <v>-1.1828114930167999E-5</v>
      </c>
      <c r="X17" s="92">
        <f t="shared" si="4"/>
        <v>9.4756336771473215E-7</v>
      </c>
      <c r="Y17" s="91">
        <f t="shared" si="5"/>
        <v>-1.1828114930167999E-5</v>
      </c>
      <c r="Z17" s="93">
        <f t="shared" si="5"/>
        <v>9.4756336771473215E-7</v>
      </c>
      <c r="AB17" s="97">
        <f>(H17-R17)/H17</f>
        <v>-1.6121452390962738E-3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16.081714851581282</v>
      </c>
      <c r="H18">
        <v>47.275898001768091</v>
      </c>
      <c r="I18">
        <v>3.5015792687339089</v>
      </c>
      <c r="J18" s="69">
        <f t="shared" si="0"/>
        <v>0.24053109738772277</v>
      </c>
      <c r="K18" s="69">
        <f t="shared" si="1"/>
        <v>0.70709645900960683</v>
      </c>
      <c r="L18" s="72"/>
      <c r="M18">
        <v>237.39232127097401</v>
      </c>
      <c r="N18">
        <v>2788.4739178047239</v>
      </c>
      <c r="O18">
        <v>685.84365289555205</v>
      </c>
      <c r="P18" s="73">
        <f>J125</f>
        <v>0</v>
      </c>
      <c r="Q18" s="74">
        <v>16.109881535715601</v>
      </c>
      <c r="R18" s="75">
        <v>47.35932544528211</v>
      </c>
      <c r="S18" s="75">
        <v>3.5095937638725232</v>
      </c>
      <c r="T18" s="75">
        <f t="shared" si="2"/>
        <v>0.24052209589538559</v>
      </c>
      <c r="U18" s="76">
        <f t="shared" si="3"/>
        <v>0.70707932836359821</v>
      </c>
      <c r="V18" s="73">
        <v>1</v>
      </c>
      <c r="W18" s="91">
        <f t="shared" si="4"/>
        <v>9.0014923371795064E-6</v>
      </c>
      <c r="X18" s="92">
        <f t="shared" si="4"/>
        <v>1.7130646008611805E-5</v>
      </c>
      <c r="Y18" s="91">
        <f t="shared" si="5"/>
        <v>9.0014923371795064E-6</v>
      </c>
      <c r="Z18" s="93">
        <f t="shared" si="5"/>
        <v>1.7130646008611805E-5</v>
      </c>
      <c r="AB18" s="97">
        <f t="shared" ref="AB18:AB23" si="6">(H18-R18)/H18</f>
        <v>-1.7646929416528191E-3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8.1840881950844526</v>
      </c>
      <c r="H19">
        <v>2.8557635595754123</v>
      </c>
      <c r="I19">
        <v>45.227009450847987</v>
      </c>
      <c r="J19" s="69">
        <f t="shared" si="0"/>
        <v>0.14545130152529867</v>
      </c>
      <c r="K19" s="69">
        <f t="shared" si="1"/>
        <v>5.0753916219799147E-2</v>
      </c>
      <c r="L19" s="72"/>
      <c r="M19">
        <v>89.484489810500008</v>
      </c>
      <c r="N19">
        <v>420.01609454549998</v>
      </c>
      <c r="O19">
        <v>1434.1105919921001</v>
      </c>
      <c r="P19" s="73">
        <f>J133</f>
        <v>0</v>
      </c>
      <c r="Q19" s="74">
        <v>8.1983366910036217</v>
      </c>
      <c r="R19" s="75">
        <v>2.8596066514383773</v>
      </c>
      <c r="S19" s="75">
        <v>45.299224961431797</v>
      </c>
      <c r="T19" s="75">
        <f t="shared" si="2"/>
        <v>0.14547105430845603</v>
      </c>
      <c r="U19" s="76">
        <f t="shared" si="3"/>
        <v>5.0740779522838765E-2</v>
      </c>
      <c r="V19" s="77">
        <v>1</v>
      </c>
      <c r="W19" s="91">
        <f t="shared" si="4"/>
        <v>-1.9752783157356291E-5</v>
      </c>
      <c r="X19" s="92">
        <f t="shared" si="4"/>
        <v>1.3136696960382166E-5</v>
      </c>
      <c r="Y19" s="91">
        <f t="shared" si="5"/>
        <v>-1.9752783157356291E-5</v>
      </c>
      <c r="Z19" s="93">
        <f t="shared" si="5"/>
        <v>1.3136696960382166E-5</v>
      </c>
      <c r="AB19" s="97">
        <f t="shared" si="6"/>
        <v>-1.3457318096517887E-3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74.45814976805471</v>
      </c>
      <c r="H20">
        <v>75.166610917424407</v>
      </c>
      <c r="I20">
        <v>4.237882304557175</v>
      </c>
      <c r="J20" s="69">
        <f t="shared" si="0"/>
        <v>0.48392610656555796</v>
      </c>
      <c r="K20" s="69">
        <f t="shared" si="1"/>
        <v>0.48853061052832675</v>
      </c>
      <c r="L20" s="72"/>
      <c r="M20">
        <v>3543.3282090515663</v>
      </c>
      <c r="N20">
        <v>3612.7641581786238</v>
      </c>
      <c r="O20">
        <v>897.18449370202802</v>
      </c>
      <c r="P20" s="73">
        <f>J141</f>
        <v>0</v>
      </c>
      <c r="Q20" s="74">
        <v>74.581631324478607</v>
      </c>
      <c r="R20" s="75">
        <v>75.295002240980381</v>
      </c>
      <c r="S20" s="75">
        <v>4.2461378325936501</v>
      </c>
      <c r="T20" s="75">
        <f t="shared" si="2"/>
        <v>0.48391052566694864</v>
      </c>
      <c r="U20" s="76">
        <f t="shared" si="3"/>
        <v>0.48853911435654179</v>
      </c>
      <c r="V20" s="73">
        <v>1</v>
      </c>
      <c r="W20" s="91">
        <f t="shared" si="4"/>
        <v>1.558089860931311E-5</v>
      </c>
      <c r="X20" s="92">
        <f t="shared" si="4"/>
        <v>-8.5038282150451394E-6</v>
      </c>
      <c r="Y20" s="91">
        <f t="shared" si="5"/>
        <v>1.558089860931311E-5</v>
      </c>
      <c r="Z20" s="93">
        <f t="shared" si="5"/>
        <v>-8.5038282150451394E-6</v>
      </c>
      <c r="AB20" s="97">
        <f t="shared" si="6"/>
        <v>-1.708089828567903E-3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66.560523111557899</v>
      </c>
      <c r="H21">
        <v>30.746476475231717</v>
      </c>
      <c r="I21">
        <v>45.963312486671256</v>
      </c>
      <c r="J21" s="69">
        <f t="shared" si="0"/>
        <v>0.46458001066843108</v>
      </c>
      <c r="K21" s="69">
        <f t="shared" si="1"/>
        <v>0.2146046590550223</v>
      </c>
      <c r="L21" s="72"/>
      <c r="M21">
        <v>3395.4203775910919</v>
      </c>
      <c r="N21">
        <v>1244.3063349193999</v>
      </c>
      <c r="O21">
        <v>1645.451432798576</v>
      </c>
      <c r="P21" s="73">
        <f>J149</f>
        <v>0</v>
      </c>
      <c r="Q21" s="74">
        <v>66.67008647976661</v>
      </c>
      <c r="R21" s="75">
        <v>30.795283447136654</v>
      </c>
      <c r="S21" s="75">
        <v>46.035769030152913</v>
      </c>
      <c r="T21" s="75">
        <f t="shared" si="2"/>
        <v>0.46459621829007325</v>
      </c>
      <c r="U21" s="76">
        <f t="shared" si="3"/>
        <v>0.21459957510408595</v>
      </c>
      <c r="V21" s="77">
        <v>1</v>
      </c>
      <c r="W21" s="91">
        <f t="shared" si="4"/>
        <v>-1.6207621642172487E-5</v>
      </c>
      <c r="X21" s="92">
        <f t="shared" si="4"/>
        <v>5.0839509363465041E-6</v>
      </c>
      <c r="Y21" s="91">
        <f t="shared" si="5"/>
        <v>-1.6207621642172487E-5</v>
      </c>
      <c r="Z21" s="93">
        <f t="shared" si="5"/>
        <v>5.0839509363465041E-6</v>
      </c>
      <c r="AB21" s="97">
        <f t="shared" si="6"/>
        <v>-1.5874004926793792E-3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24.265803046665731</v>
      </c>
      <c r="H22">
        <v>50.131661561343506</v>
      </c>
      <c r="I22">
        <v>48.728588719581893</v>
      </c>
      <c r="J22" s="69">
        <f t="shared" si="0"/>
        <v>0.19708097832149099</v>
      </c>
      <c r="K22" s="69">
        <f t="shared" si="1"/>
        <v>0.40715721982871012</v>
      </c>
      <c r="L22" s="72"/>
      <c r="M22">
        <v>326.87681108147399</v>
      </c>
      <c r="N22">
        <v>3208.4900123502239</v>
      </c>
      <c r="O22">
        <v>2119.9542448876518</v>
      </c>
      <c r="P22" s="73">
        <f>J157</f>
        <v>0</v>
      </c>
      <c r="Q22" s="74">
        <v>24.30821822671922</v>
      </c>
      <c r="R22" s="75">
        <v>50.218932096720494</v>
      </c>
      <c r="S22" s="75">
        <v>48.808818725304306</v>
      </c>
      <c r="T22" s="75">
        <f t="shared" si="2"/>
        <v>0.19708944936502901</v>
      </c>
      <c r="U22" s="76">
        <f t="shared" si="3"/>
        <v>0.40717182898099502</v>
      </c>
      <c r="V22" s="73">
        <v>1</v>
      </c>
      <c r="W22" s="91">
        <f t="shared" ref="W22:X23" si="7">J22-T22</f>
        <v>-8.4710435380164206E-6</v>
      </c>
      <c r="X22" s="92">
        <f t="shared" si="7"/>
        <v>-1.4609152284905669E-5</v>
      </c>
      <c r="Y22" s="91">
        <f t="shared" si="5"/>
        <v>-8.4710435380164206E-6</v>
      </c>
      <c r="Z22" s="93">
        <f t="shared" si="5"/>
        <v>-1.4609152284905669E-5</v>
      </c>
      <c r="AB22" s="97">
        <f t="shared" si="6"/>
        <v>-1.7408267082909062E-3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82.642237963139166</v>
      </c>
      <c r="H23">
        <v>78.022374476999815</v>
      </c>
      <c r="I23">
        <v>49.464891755405162</v>
      </c>
      <c r="J23" s="69">
        <f t="shared" si="0"/>
        <v>0.39329192861100187</v>
      </c>
      <c r="K23" s="69">
        <f t="shared" si="1"/>
        <v>0.37130613702106807</v>
      </c>
      <c r="L23" s="72"/>
      <c r="M23">
        <v>3632.8126988620661</v>
      </c>
      <c r="N23">
        <v>4032.7802527241242</v>
      </c>
      <c r="O23">
        <v>2331.2950856941279</v>
      </c>
      <c r="P23" s="77">
        <f>J165</f>
        <v>0</v>
      </c>
      <c r="Q23" s="79">
        <v>82.779968015482211</v>
      </c>
      <c r="R23" s="80">
        <v>78.154608892418779</v>
      </c>
      <c r="S23" s="80">
        <v>49.545362794025429</v>
      </c>
      <c r="T23" s="80">
        <f t="shared" si="2"/>
        <v>0.39329148484512116</v>
      </c>
      <c r="U23" s="81">
        <f t="shared" si="3"/>
        <v>0.37131618815122397</v>
      </c>
      <c r="V23" s="77">
        <v>1</v>
      </c>
      <c r="W23" s="94">
        <f t="shared" si="7"/>
        <v>4.4376588070882406E-7</v>
      </c>
      <c r="X23" s="95">
        <f t="shared" si="7"/>
        <v>-1.0051130155896981E-5</v>
      </c>
      <c r="Y23" s="94">
        <f t="shared" si="5"/>
        <v>4.4376588070882406E-7</v>
      </c>
      <c r="Z23" s="96">
        <f t="shared" si="5"/>
        <v>-1.0051130155896981E-5</v>
      </c>
      <c r="AB23" s="97">
        <f t="shared" si="6"/>
        <v>-1.6948268532630338E-3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4.5475866484038614E-5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1.7470012892593343E-2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7.67092007462436E-3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6.4992576916979121E-3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151.48747978065919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0.94956967319176511</v>
      </c>
      <c r="R34" s="27">
        <v>0.2470437997655936</v>
      </c>
      <c r="S34" s="28">
        <v>-1.0443103559484138E-2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0.45144914217160254</v>
      </c>
      <c r="R35" s="27">
        <v>2.2747322071355165</v>
      </c>
      <c r="S35" s="28">
        <v>-0.91280852862937623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0.56426838333662988</v>
      </c>
      <c r="R36" s="29">
        <v>-0.52094818419528466</v>
      </c>
      <c r="S36" s="30">
        <v>5.1773765994381442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1.6588994433075783E-2</v>
      </c>
      <c r="R41" s="27">
        <v>4.315858366940168E-3</v>
      </c>
      <c r="S41" s="28">
        <v>-1.8244115382287532E-4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3.4630302873560927E-3</v>
      </c>
      <c r="R42" s="27">
        <v>1.7449288952110412E-2</v>
      </c>
      <c r="S42" s="28">
        <v>-7.0020812665514071E-3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3.6673256305825375E-3</v>
      </c>
      <c r="R43" s="29">
        <v>-3.3857764931072643E-3</v>
      </c>
      <c r="S43" s="30">
        <v>3.3649104686715142E-2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0.41285637964859356</v>
      </c>
      <c r="R48" s="27">
        <v>0.10741034772417114</v>
      </c>
      <c r="S48" s="28">
        <v>-4.5404798084713646E-3</v>
      </c>
      <c r="T48">
        <v>2.2999999999999998</v>
      </c>
      <c r="U48">
        <f>T48*Q48</f>
        <v>0.94956967319176511</v>
      </c>
      <c r="V48" s="50">
        <f>T48*R48</f>
        <v>0.2470437997655936</v>
      </c>
      <c r="W48">
        <f>T48*S48</f>
        <v>-1.0443103559484138E-2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0.19628223572678372</v>
      </c>
      <c r="R49" s="27">
        <v>0.98901400310239862</v>
      </c>
      <c r="S49" s="28">
        <v>-0.39687327331712013</v>
      </c>
      <c r="T49">
        <v>2.2999999999999998</v>
      </c>
      <c r="U49">
        <f t="shared" ref="U49:U50" si="8">T49*Q49</f>
        <v>0.45144914217160254</v>
      </c>
      <c r="V49" s="51">
        <f t="shared" ref="V49:V50" si="9">T49*R49</f>
        <v>2.2747322071355165</v>
      </c>
      <c r="W49">
        <f t="shared" ref="W49:W50" si="10">T49*S49</f>
        <v>-0.91280852862937623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0.24533407971157822</v>
      </c>
      <c r="R50" s="29">
        <v>-0.22649921051968899</v>
      </c>
      <c r="S50" s="30">
        <v>2.2510333041035411</v>
      </c>
      <c r="T50">
        <v>2.2999999999999998</v>
      </c>
      <c r="U50">
        <f t="shared" si="8"/>
        <v>0.56426838333662988</v>
      </c>
      <c r="V50" s="51">
        <f t="shared" si="9"/>
        <v>-0.52094818419528466</v>
      </c>
      <c r="W50">
        <f t="shared" si="10"/>
        <v>5.1773765994381442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2020-06-25T01:02:06Z</dcterms:modified>
</cp:coreProperties>
</file>