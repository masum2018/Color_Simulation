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709DFC02-0768-445A-A9E7-5E7378C399D3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<sst xmlns="http://schemas.openxmlformats.org/spreadsheetml/2006/main" count="72" uniqueCount="30">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</sst>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X41" sqref="X41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4819.5048548213708</v>
      </c>
      <c r="R6" s="6">
        <v>1955.7912982517637</v>
      </c>
      <c r="S6" s="6">
        <v>22312.836580873016</v>
      </c>
      <c r="T6" s="6">
        <f t="shared" ref="T6:T23" si="2">Q6/(Q6+R6+S6)</f>
        <v>0.16568629203197216</v>
      </c>
      <c r="U6" s="7">
        <f t="shared" ref="U6:U23" si="3">R6/(Q6+R6+S6)</f>
        <v>6.7236742768618324E-2</v>
      </c>
      <c r="V6" s="45">
        <v>0</v>
      </c>
      <c r="W6" s="86">
        <f t="shared" ref="W6:X21" si="4">J6-T6</f>
        <v>-1.873108317439795E-2</v>
      </c>
      <c r="X6" s="87">
        <f t="shared" si="4"/>
        <v>-1.3889988868266034E-2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7574.4159797650318</v>
      </c>
      <c r="R7" s="6">
        <v>19366.979767316145</v>
      </c>
      <c r="S7" s="6">
        <v>6826.1486775476769</v>
      </c>
      <c r="T7" s="6">
        <f t="shared" si="2"/>
        <v>0.22431053571785695</v>
      </c>
      <c r="U7" s="7">
        <f t="shared" si="3"/>
        <v>0.57353829238440435</v>
      </c>
      <c r="V7" s="45">
        <v>0</v>
      </c>
      <c r="W7" s="86">
        <f t="shared" si="4"/>
        <v>-2.3875989275705944E-2</v>
      </c>
      <c r="X7" s="87">
        <f t="shared" si="4"/>
        <v>0.11956328284644846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24479.501290967604</v>
      </c>
      <c r="R8" s="6">
        <v>10461.747258138954</v>
      </c>
      <c r="S8" s="6">
        <v>4279.0249696473802</v>
      </c>
      <c r="T8" s="6">
        <f t="shared" si="2"/>
        <v>0.62415427264326073</v>
      </c>
      <c r="U8" s="7">
        <f t="shared" si="3"/>
        <v>0.2667433528513376</v>
      </c>
      <c r="V8" s="45">
        <v>0</v>
      </c>
      <c r="W8" s="86">
        <f t="shared" si="4"/>
        <v>5.7529189123188718E-2</v>
      </c>
      <c r="X8" s="87">
        <f t="shared" si="4"/>
        <v>4.2681661967868101E-2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9979.6634297872552</v>
      </c>
      <c r="R9" s="6">
        <v>4796.3805564756603</v>
      </c>
      <c r="S9" s="6">
        <v>23187.231652278675</v>
      </c>
      <c r="T9" s="6">
        <f t="shared" si="2"/>
        <v>0.26287677398563486</v>
      </c>
      <c r="U9" s="7">
        <f t="shared" si="3"/>
        <v>0.1263426423510782</v>
      </c>
      <c r="V9" s="45">
        <v>0</v>
      </c>
      <c r="W9" s="86">
        <f t="shared" si="4"/>
        <v>-3.6298152442093778E-2</v>
      </c>
      <c r="X9" s="87">
        <f t="shared" si="4"/>
        <v>-1.5323244909889594E-2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7230.3820102486188</v>
      </c>
      <c r="R10" s="6">
        <v>6276.5815067847325</v>
      </c>
      <c r="S10" s="6">
        <v>23533.006544853732</v>
      </c>
      <c r="T10" s="6">
        <f t="shared" si="2"/>
        <v>0.19520485567801377</v>
      </c>
      <c r="U10" s="7">
        <f t="shared" si="3"/>
        <v>0.16945428131550055</v>
      </c>
      <c r="V10" s="45">
        <v>0</v>
      </c>
      <c r="W10" s="86">
        <f t="shared" si="4"/>
        <v>-2.3355428509437642E-2</v>
      </c>
      <c r="X10" s="87">
        <f t="shared" si="4"/>
        <v>-7.0156561109178672E-3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25412.619978928076</v>
      </c>
      <c r="R11" s="6">
        <v>11458.503651245819</v>
      </c>
      <c r="S11" s="6">
        <v>8943.456892914528</v>
      </c>
      <c r="T11" s="6">
        <f t="shared" si="2"/>
        <v>0.55468411341497037</v>
      </c>
      <c r="U11" s="7">
        <f t="shared" si="3"/>
        <v>0.25010604747262205</v>
      </c>
      <c r="V11" s="45">
        <v>0</v>
      </c>
      <c r="W11" s="86">
        <f t="shared" si="4"/>
        <v>5.9429036435820759E-3</v>
      </c>
      <c r="X11" s="87">
        <f t="shared" si="4"/>
        <v>2.2830789779567928E-2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9382.035773533471</v>
      </c>
      <c r="R12" s="6">
        <v>19940.489431712256</v>
      </c>
      <c r="S12" s="6">
        <v>11301.994411169784</v>
      </c>
      <c r="T12" s="6">
        <f t="shared" si="2"/>
        <v>0.23094514992719786</v>
      </c>
      <c r="U12" s="7">
        <f t="shared" si="3"/>
        <v>0.49084862098048598</v>
      </c>
      <c r="V12" s="45">
        <v>0</v>
      </c>
      <c r="W12" s="89">
        <f t="shared" si="4"/>
        <v>-2.4732897985869112E-2</v>
      </c>
      <c r="X12" s="90">
        <f t="shared" si="4"/>
        <v>7.7313587820204255E-2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12567.241372939505</v>
      </c>
      <c r="R13" s="6">
        <v>21305.021721086385</v>
      </c>
      <c r="S13" s="6">
        <v>8289.086968537782</v>
      </c>
      <c r="T13" s="6">
        <f t="shared" si="2"/>
        <v>0.29807492773098687</v>
      </c>
      <c r="U13" s="7">
        <f t="shared" si="3"/>
        <v>0.5053211457762059</v>
      </c>
      <c r="V13" s="45">
        <v>0</v>
      </c>
      <c r="W13" s="86">
        <f t="shared" si="4"/>
        <v>-2.4181122421252366E-2</v>
      </c>
      <c r="X13" s="87">
        <f t="shared" si="4"/>
        <v>0.10485584537423653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25779.042945387762</v>
      </c>
      <c r="R14" s="6">
        <v>14295.147064611907</v>
      </c>
      <c r="S14" s="6">
        <v>6294.4448243274092</v>
      </c>
      <c r="T14" s="6">
        <f t="shared" si="2"/>
        <v>0.55595863534682555</v>
      </c>
      <c r="U14" s="7">
        <f t="shared" si="3"/>
        <v>0.308293464228304</v>
      </c>
      <c r="V14" s="45">
        <v>0</v>
      </c>
      <c r="W14" s="86">
        <f t="shared" si="4"/>
        <v>1.8150182664431469E-2</v>
      </c>
      <c r="X14" s="87">
        <f t="shared" si="4"/>
        <v>5.9905410068131271E-2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34843.917800368858</v>
      </c>
      <c r="R15" s="6">
        <v>30379.211979341395</v>
      </c>
      <c r="S15" s="6">
        <v>31044.390184362182</v>
      </c>
      <c r="T15" s="6">
        <f t="shared" si="2"/>
        <v>0.36194884643722824</v>
      </c>
      <c r="U15" s="7">
        <f t="shared" si="3"/>
        <v>0.31557073445622247</v>
      </c>
      <c r="V15" s="45">
        <v>0</v>
      </c>
      <c r="W15" s="86">
        <f t="shared" si="4"/>
        <v>-3.4870112073725701E-2</v>
      </c>
      <c r="X15" s="87">
        <f t="shared" si="4"/>
        <v>2.9535961643851083E-2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15093.263483910701</v>
      </c>
      <c r="R16" s="6">
        <v>14486.711609049557</v>
      </c>
      <c r="S16" s="6">
        <v>13655.72272967326</v>
      </c>
      <c r="T16" s="6">
        <f t="shared" si="2"/>
        <v>0.34909263048853828</v>
      </c>
      <c r="U16" s="7">
        <f t="shared" si="3"/>
        <v>0.33506367049928559</v>
      </c>
      <c r="V16" s="45">
        <v>0</v>
      </c>
      <c r="W16" s="86">
        <f t="shared" si="4"/>
        <v>-3.1897304945967375E-2</v>
      </c>
      <c r="X16" s="87">
        <f t="shared" si="4"/>
        <v>4.0145010635939782E-2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44.076925833035624</v>
      </c>
      <c r="H17">
        <v>22.094623165533715</v>
      </c>
      <c r="I17">
        <v>0.75864411455779224</v>
      </c>
      <c r="J17" s="69">
        <f t="shared" si="0"/>
        <v>0.65855070459061238</v>
      </c>
      <c r="K17" s="69">
        <f t="shared" si="1"/>
        <v>0.33011443920666439</v>
      </c>
      <c r="L17" s="72"/>
      <c r="M17">
        <v>55.711093881336765</v>
      </c>
      <c r="N17">
        <v>14.480372722421514</v>
      </c>
      <c r="O17">
        <v>3.9693166213829558</v>
      </c>
      <c r="P17" s="73">
        <f>J117</f>
        <v>0</v>
      </c>
      <c r="Q17" s="74">
        <v>44.174138125820299</v>
      </c>
      <c r="R17" s="75">
        <v>22.143231055614688</v>
      </c>
      <c r="S17" s="75">
        <v>0.7599399519469241</v>
      </c>
      <c r="T17" s="75">
        <f t="shared" si="2"/>
        <v>0.65855560839479854</v>
      </c>
      <c r="U17" s="76">
        <f t="shared" si="3"/>
        <v>0.33011507679270963</v>
      </c>
      <c r="V17" s="73">
        <v>1</v>
      </c>
      <c r="W17" s="91">
        <f t="shared" si="4"/>
        <v>-4.9038041861626525E-6</v>
      </c>
      <c r="X17" s="92">
        <f t="shared" si="4"/>
        <v>-6.3758604523789231E-7</v>
      </c>
      <c r="Y17" s="91">
        <f t="shared" si="5"/>
        <v>-4.9038041861626525E-6</v>
      </c>
      <c r="Z17" s="93">
        <f t="shared" si="5"/>
        <v>-6.3758604523789231E-7</v>
      </c>
      <c r="AB17" s="97">
        <f>(H17-R17)/H17</f>
        <v>-2.1999872872599329E-3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12.462982632928224</v>
      </c>
      <c r="H18">
        <v>38.96556781015849</v>
      </c>
      <c r="I18">
        <v>3.2711652866985075</v>
      </c>
      <c r="J18" s="69">
        <f t="shared" si="0"/>
        <v>0.22784364537642104</v>
      </c>
      <c r="K18" s="69">
        <f t="shared" si="1"/>
        <v>0.71235411903504398</v>
      </c>
      <c r="L18" s="72"/>
      <c r="M18">
        <v>3.7101574894571163</v>
      </c>
      <c r="N18">
        <v>44.414462656930255</v>
      </c>
      <c r="O18">
        <v>11.230478640825806</v>
      </c>
      <c r="P18" s="73">
        <f>J125</f>
        <v>0</v>
      </c>
      <c r="Q18" s="74">
        <v>12.491381134493153</v>
      </c>
      <c r="R18" s="75">
        <v>39.055478487928276</v>
      </c>
      <c r="S18" s="75">
        <v>3.280331848319765</v>
      </c>
      <c r="T18" s="75">
        <f t="shared" si="2"/>
        <v>0.2278318622459303</v>
      </c>
      <c r="U18" s="76">
        <f t="shared" si="3"/>
        <v>0.71233775504934305</v>
      </c>
      <c r="V18" s="73">
        <v>1</v>
      </c>
      <c r="W18" s="91">
        <f t="shared" si="4"/>
        <v>1.1783130490744531E-5</v>
      </c>
      <c r="X18" s="92">
        <f t="shared" si="4"/>
        <v>1.6363985700929007E-5</v>
      </c>
      <c r="Y18" s="91">
        <f t="shared" si="5"/>
        <v>1.1783130490744531E-5</v>
      </c>
      <c r="Z18" s="93">
        <f t="shared" si="5"/>
        <v>1.6363985700929007E-5</v>
      </c>
      <c r="AB18" s="97">
        <f t="shared" ref="AB18:AB23" si="6">(H18-R18)/H18</f>
        <v>-2.3074391782979889E-3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8.18411919463753</v>
      </c>
      <c r="H19">
        <v>2.6425807345122201</v>
      </c>
      <c r="I19">
        <v>45.033563406743198</v>
      </c>
      <c r="J19" s="69">
        <f t="shared" si="0"/>
        <v>0.14651057309604254</v>
      </c>
      <c r="K19" s="69">
        <f t="shared" si="1"/>
        <v>4.7306986696824836E-2</v>
      </c>
      <c r="L19" s="72"/>
      <c r="M19">
        <v>1.1087997804543162</v>
      </c>
      <c r="N19">
        <v>6.0866962507057405</v>
      </c>
      <c r="O19">
        <v>20.599143607637529</v>
      </c>
      <c r="P19" s="73">
        <f>J133</f>
        <v>0</v>
      </c>
      <c r="Q19" s="74">
        <v>8.2022659597042988</v>
      </c>
      <c r="R19" s="75">
        <v>2.6467839753217608</v>
      </c>
      <c r="S19" s="75">
        <v>45.130088451843406</v>
      </c>
      <c r="T19" s="75">
        <f t="shared" si="2"/>
        <v>0.14652361926364041</v>
      </c>
      <c r="U19" s="76">
        <f t="shared" si="3"/>
        <v>4.7281613322269239E-2</v>
      </c>
      <c r="V19" s="77">
        <v>1</v>
      </c>
      <c r="W19" s="91">
        <f t="shared" si="4"/>
        <v>-1.3046167597868807E-5</v>
      </c>
      <c r="X19" s="92">
        <f t="shared" si="4"/>
        <v>2.5373374555597017E-5</v>
      </c>
      <c r="Y19" s="91">
        <f t="shared" si="5"/>
        <v>-1.3046167597868807E-5</v>
      </c>
      <c r="Z19" s="93">
        <f t="shared" si="5"/>
        <v>2.5373374555597017E-5</v>
      </c>
      <c r="AB19" s="97">
        <f t="shared" si="6"/>
        <v>-1.5905817955327534E-3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56.539908465963848</v>
      </c>
      <c r="H20">
        <v>61.060190975692208</v>
      </c>
      <c r="I20">
        <v>4.0298094012562995</v>
      </c>
      <c r="J20" s="69">
        <f t="shared" si="0"/>
        <v>0.4648520171053187</v>
      </c>
      <c r="K20" s="69">
        <f t="shared" si="1"/>
        <v>0.5020162520597854</v>
      </c>
      <c r="L20" s="72"/>
      <c r="M20">
        <v>59.421251370793883</v>
      </c>
      <c r="N20">
        <v>58.894835379351761</v>
      </c>
      <c r="O20">
        <v>15.199795262208761</v>
      </c>
      <c r="P20" s="73">
        <f>J141</f>
        <v>0</v>
      </c>
      <c r="Q20" s="74">
        <v>56.665519260313452</v>
      </c>
      <c r="R20" s="75">
        <v>61.198709543542954</v>
      </c>
      <c r="S20" s="75">
        <v>4.0402718002666838</v>
      </c>
      <c r="T20" s="75">
        <f t="shared" si="2"/>
        <v>0.4648353340483386</v>
      </c>
      <c r="U20" s="76">
        <f t="shared" si="3"/>
        <v>0.50202174029884072</v>
      </c>
      <c r="V20" s="73">
        <v>1</v>
      </c>
      <c r="W20" s="91">
        <f t="shared" si="4"/>
        <v>1.6683056980104638E-5</v>
      </c>
      <c r="X20" s="92">
        <f t="shared" si="4"/>
        <v>-5.488239055329025E-6</v>
      </c>
      <c r="Y20" s="91">
        <f t="shared" si="5"/>
        <v>1.6683056980104638E-5</v>
      </c>
      <c r="Z20" s="93">
        <f t="shared" si="5"/>
        <v>-5.488239055329025E-6</v>
      </c>
      <c r="AB20" s="97">
        <f t="shared" si="6"/>
        <v>-2.2685577237367156E-3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52.261045027673148</v>
      </c>
      <c r="H21">
        <v>24.737203900045937</v>
      </c>
      <c r="I21">
        <v>45.792207521301002</v>
      </c>
      <c r="J21" s="69">
        <f t="shared" si="0"/>
        <v>0.42561161949398557</v>
      </c>
      <c r="K21" s="69">
        <f t="shared" si="1"/>
        <v>0.20145868510812387</v>
      </c>
      <c r="L21" s="72"/>
      <c r="M21">
        <v>56.819893661791092</v>
      </c>
      <c r="N21">
        <v>20.567068973127256</v>
      </c>
      <c r="O21">
        <v>24.568460229020484</v>
      </c>
      <c r="P21" s="73">
        <f>J149</f>
        <v>0</v>
      </c>
      <c r="Q21" s="74">
        <v>52.376404085524612</v>
      </c>
      <c r="R21" s="75">
        <v>24.790015030936452</v>
      </c>
      <c r="S21" s="75">
        <v>45.890028403790325</v>
      </c>
      <c r="T21" s="75">
        <f t="shared" si="2"/>
        <v>0.42562909250980147</v>
      </c>
      <c r="U21" s="76">
        <f t="shared" si="3"/>
        <v>0.20145238653063474</v>
      </c>
      <c r="V21" s="77">
        <v>1</v>
      </c>
      <c r="W21" s="91">
        <f t="shared" si="4"/>
        <v>-1.7473015815894222E-5</v>
      </c>
      <c r="X21" s="92">
        <f t="shared" si="4"/>
        <v>6.2985774891277657E-6</v>
      </c>
      <c r="Y21" s="91">
        <f t="shared" si="5"/>
        <v>-1.7473015815894222E-5</v>
      </c>
      <c r="Z21" s="93">
        <f t="shared" si="5"/>
        <v>6.2985774891277657E-6</v>
      </c>
      <c r="AB21" s="97">
        <f t="shared" si="6"/>
        <v>-2.134886832962416E-3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20.647101827565752</v>
      </c>
      <c r="H22">
        <v>41.608148544670712</v>
      </c>
      <c r="I22">
        <v>48.304728693441717</v>
      </c>
      <c r="J22" s="69">
        <f t="shared" si="0"/>
        <v>0.18675023278812614</v>
      </c>
      <c r="K22" s="69">
        <f t="shared" si="1"/>
        <v>0.3763400544780619</v>
      </c>
      <c r="L22" s="72"/>
      <c r="M22">
        <v>4.8189572699114329</v>
      </c>
      <c r="N22">
        <v>50.50115890763599</v>
      </c>
      <c r="O22">
        <v>31.82962224846333</v>
      </c>
      <c r="P22" s="73">
        <f>J157</f>
        <v>0</v>
      </c>
      <c r="Q22" s="74">
        <v>20.693647094197448</v>
      </c>
      <c r="R22" s="75">
        <v>41.70226246325003</v>
      </c>
      <c r="S22" s="75">
        <v>48.41042030016316</v>
      </c>
      <c r="T22" s="75">
        <f t="shared" si="2"/>
        <v>0.18675509892611175</v>
      </c>
      <c r="U22" s="76">
        <f t="shared" si="3"/>
        <v>0.37635270942407933</v>
      </c>
      <c r="V22" s="73">
        <v>1</v>
      </c>
      <c r="W22" s="91">
        <f t="shared" ref="W22:X23" si="7">J22-T22</f>
        <v>-4.8661379856151932E-6</v>
      </c>
      <c r="X22" s="92">
        <f t="shared" si="7"/>
        <v>-1.265494601743189E-5</v>
      </c>
      <c r="Y22" s="91">
        <f t="shared" si="5"/>
        <v>-4.8661379856151932E-6</v>
      </c>
      <c r="Z22" s="93">
        <f t="shared" si="5"/>
        <v>-1.265494601743189E-5</v>
      </c>
      <c r="AB22" s="97">
        <f t="shared" si="6"/>
        <v>-2.2619107523680474E-3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64.724027660601379</v>
      </c>
      <c r="H23">
        <v>63.702771710204431</v>
      </c>
      <c r="I23">
        <v>49.063372807999507</v>
      </c>
      <c r="J23" s="69">
        <f t="shared" si="0"/>
        <v>0.36466259999679174</v>
      </c>
      <c r="K23" s="69">
        <f t="shared" si="1"/>
        <v>0.3589087267661763</v>
      </c>
      <c r="L23" s="72"/>
      <c r="M23">
        <v>60.530051151248202</v>
      </c>
      <c r="N23">
        <v>64.981531630057503</v>
      </c>
      <c r="O23">
        <v>35.798938869846296</v>
      </c>
      <c r="P23" s="77">
        <f>J165</f>
        <v>0</v>
      </c>
      <c r="Q23" s="79">
        <v>64.867785220017751</v>
      </c>
      <c r="R23" s="80">
        <v>63.845493518864714</v>
      </c>
      <c r="S23" s="80">
        <v>49.170360252110115</v>
      </c>
      <c r="T23" s="80">
        <f t="shared" si="2"/>
        <v>0.3646641455502404</v>
      </c>
      <c r="U23" s="81">
        <f t="shared" si="3"/>
        <v>0.35891717687480873</v>
      </c>
      <c r="V23" s="77">
        <v>1</v>
      </c>
      <c r="W23" s="94">
        <f t="shared" si="7"/>
        <v>-1.5455534486674694E-6</v>
      </c>
      <c r="X23" s="95">
        <f t="shared" si="7"/>
        <v>-8.4501086324295649E-6</v>
      </c>
      <c r="Y23" s="94">
        <f t="shared" si="5"/>
        <v>-1.5455534486674694E-6</v>
      </c>
      <c r="Z23" s="96">
        <f t="shared" si="5"/>
        <v>-8.4501086324295649E-6</v>
      </c>
      <c r="AB23" s="97">
        <f t="shared" si="6"/>
        <v>-2.2404332626145551E-3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4.643414881479293E-5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1.0420280530060071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0.38228093146564263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0.42698344364163104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10943.777489990931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0.70439197354864957</v>
      </c>
      <c r="R34" s="27">
        <v>0.16649192995619089</v>
      </c>
      <c r="S34" s="28">
        <v>-1.8161237281231368E-2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0.36536947820774673</v>
      </c>
      <c r="R35" s="27">
        <v>2.3598422823438328</v>
      </c>
      <c r="S35" s="28">
        <v>-1.3536039956514654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0.74336470215843586</v>
      </c>
      <c r="R36" s="29">
        <v>-0.34523677939350933</v>
      </c>
      <c r="S36" s="30">
        <v>5.4915254904406501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0.7339961967499582</v>
      </c>
      <c r="R41" s="27">
        <v>0.17348926161346209</v>
      </c>
      <c r="S41" s="28">
        <v>-1.8924518724341633E-2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0.13967378445837322</v>
      </c>
      <c r="R42" s="27">
        <v>0.90212270580640841</v>
      </c>
      <c r="S42" s="28">
        <v>-0.51745699629325781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0.31740442040924433</v>
      </c>
      <c r="R43" s="29">
        <v>-0.14741038893718669</v>
      </c>
      <c r="S43" s="30">
        <v>2.3447904647541455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0.31446070247707569</v>
      </c>
      <c r="R48" s="27">
        <v>7.4326754444728069E-2</v>
      </c>
      <c r="S48" s="28">
        <v>-8.1076952148354323E-3</v>
      </c>
      <c r="T48">
        <v>2.2400000000000002</v>
      </c>
      <c r="U48">
        <f>T48*Q48</f>
        <v>0.70439197354864957</v>
      </c>
      <c r="V48" s="50">
        <f>T48*R48</f>
        <v>0.16649192995619089</v>
      </c>
      <c r="W48">
        <f>T48*S48</f>
        <v>-1.8161237281231368E-2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0.16311137419988692</v>
      </c>
      <c r="R49" s="27">
        <v>1.0535010189034966</v>
      </c>
      <c r="S49" s="28">
        <v>-0.60428749805868986</v>
      </c>
      <c r="T49">
        <v>2.2400000000000002</v>
      </c>
      <c r="U49">
        <f t="shared" ref="U49:U50" si="8">T49*Q49</f>
        <v>0.36536947820774673</v>
      </c>
      <c r="V49" s="51">
        <f t="shared" ref="V49:V50" si="9">T49*R49</f>
        <v>2.3598422823438328</v>
      </c>
      <c r="W49">
        <f t="shared" ref="W49:W50" si="10">T49*S49</f>
        <v>-1.3536039956514654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0.33185924203501599</v>
      </c>
      <c r="R50" s="29">
        <v>-0.15412356222924523</v>
      </c>
      <c r="S50" s="30">
        <v>2.4515738796610043</v>
      </c>
      <c r="T50">
        <v>2.2400000000000002</v>
      </c>
      <c r="U50">
        <f t="shared" si="8"/>
        <v>0.74336470215843586</v>
      </c>
      <c r="V50" s="51">
        <f t="shared" si="9"/>
        <v>-0.34523677939350933</v>
      </c>
      <c r="W50">
        <f t="shared" si="10"/>
        <v>5.4915254904406501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2020-06-26T15:59:10Z</dcterms:modified>
</cp:coreProperties>
</file>